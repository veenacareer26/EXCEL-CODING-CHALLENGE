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-G\Downloads\"/>
    </mc:Choice>
  </mc:AlternateContent>
  <bookViews>
    <workbookView xWindow="0" yWindow="0" windowWidth="23040" windowHeight="8496" activeTab="4"/>
  </bookViews>
  <sheets>
    <sheet name="Instructions" sheetId="1" r:id="rId1"/>
    <sheet name="Dataset" sheetId="2" r:id="rId2"/>
    <sheet name="Sheet1" sheetId="3" r:id="rId3"/>
    <sheet name="Sheet2" sheetId="4" r:id="rId4"/>
    <sheet name="CLEANED DATA SET" sheetId="6" r:id="rId5"/>
  </sheets>
  <definedNames>
    <definedName name="_xlnm._FilterDatabase" localSheetId="2" hidden="1">Sheet1!$A$1:$H$32</definedName>
  </definedNames>
  <calcPr calcId="162913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B2" i="4" l="1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" i="4"/>
  <c r="C4" i="4"/>
  <c r="C2" i="4"/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J3" i="3" s="1"/>
  <c r="G4" i="3"/>
  <c r="J4" i="3" s="1"/>
  <c r="G5" i="3"/>
  <c r="J5" i="3" s="1"/>
  <c r="G6" i="3"/>
  <c r="J6" i="3" s="1"/>
  <c r="G7" i="3"/>
  <c r="J7" i="3" s="1"/>
  <c r="G8" i="3"/>
  <c r="J8" i="3" s="1"/>
  <c r="G9" i="3"/>
  <c r="J9" i="3" s="1"/>
  <c r="G10" i="3"/>
  <c r="J10" i="3" s="1"/>
  <c r="G11" i="3"/>
  <c r="J11" i="3" s="1"/>
  <c r="G12" i="3"/>
  <c r="J12" i="3" s="1"/>
  <c r="G13" i="3"/>
  <c r="J13" i="3" s="1"/>
  <c r="G14" i="3"/>
  <c r="J14" i="3" s="1"/>
  <c r="G15" i="3"/>
  <c r="J15" i="3" s="1"/>
  <c r="G16" i="3"/>
  <c r="J16" i="3" s="1"/>
  <c r="G17" i="3"/>
  <c r="J17" i="3" s="1"/>
  <c r="G18" i="3"/>
  <c r="J18" i="3" s="1"/>
  <c r="G19" i="3"/>
  <c r="J19" i="3" s="1"/>
  <c r="G20" i="3"/>
  <c r="J20" i="3" s="1"/>
  <c r="G21" i="3"/>
  <c r="J21" i="3" s="1"/>
  <c r="G22" i="3"/>
  <c r="J22" i="3" s="1"/>
  <c r="G23" i="3"/>
  <c r="J23" i="3" s="1"/>
  <c r="G24" i="3"/>
  <c r="J24" i="3" s="1"/>
  <c r="G25" i="3"/>
  <c r="J25" i="3" s="1"/>
  <c r="G26" i="3"/>
  <c r="J26" i="3" s="1"/>
  <c r="G27" i="3"/>
  <c r="J27" i="3" s="1"/>
  <c r="G28" i="3"/>
  <c r="J28" i="3" s="1"/>
  <c r="G29" i="3"/>
  <c r="J29" i="3" s="1"/>
  <c r="G30" i="3"/>
  <c r="J30" i="3" s="1"/>
  <c r="G31" i="3"/>
  <c r="J31" i="3" s="1"/>
  <c r="G32" i="3"/>
  <c r="J32" i="3" s="1"/>
  <c r="G2" i="3"/>
  <c r="J2" i="3" s="1"/>
</calcChain>
</file>

<file path=xl/sharedStrings.xml><?xml version="1.0" encoding="utf-8"?>
<sst xmlns="http://schemas.openxmlformats.org/spreadsheetml/2006/main" count="487" uniqueCount="229">
  <si>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</si>
  <si>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</si>
  <si>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</si>
  <si>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</si>
  <si>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</si>
  <si>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</si>
  <si>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</si>
  <si>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</si>
  <si>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</si>
  <si>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</si>
  <si>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</si>
  <si>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</si>
  <si>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</si>
  <si>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</si>
  <si>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</si>
  <si>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</si>
  <si>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</si>
  <si>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</si>
  <si>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</si>
  <si>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</si>
  <si>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</si>
  <si>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</si>
  <si>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</si>
  <si>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</si>
  <si>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</si>
  <si>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</si>
  <si>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</si>
  <si>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</si>
  <si>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</si>
  <si>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</si>
  <si>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</si>
  <si>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</si>
  <si>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</si>
  <si>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</si>
  <si>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</si>
  <si>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</si>
  <si>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</si>
  <si>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</si>
  <si>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</si>
  <si>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</si>
  <si>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</si>
  <si>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</si>
  <si>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</si>
  <si>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</si>
  <si>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</si>
  <si>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</si>
  <si>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</si>
  <si>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</si>
  <si>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</si>
  <si>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</si>
  <si>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</si>
  <si>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</si>
  <si>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</si>
  <si>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</si>
  <si>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</si>
  <si>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</si>
  <si>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</si>
  <si>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</si>
  <si>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</si>
  <si>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</si>
  <si>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</si>
  <si>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</si>
  <si>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</si>
  <si>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</si>
  <si>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</si>
  <si>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</si>
  <si>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</si>
  <si>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</si>
  <si>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</si>
  <si>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</si>
  <si>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</si>
  <si>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</si>
  <si>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</si>
  <si>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</si>
  <si>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</si>
  <si>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</si>
  <si>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</si>
  <si>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</si>
  <si>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</si>
  <si>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</si>
  <si>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</si>
  <si>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</si>
  <si>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</si>
  <si>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</si>
  <si>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</si>
  <si>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</si>
  <si>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</si>
  <si>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</si>
  <si>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</si>
  <si>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</si>
  <si>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</si>
  <si>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</si>
  <si>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</si>
  <si>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</si>
  <si>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</si>
  <si>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</si>
  <si>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</si>
  <si>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</si>
  <si>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</si>
  <si>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</si>
  <si>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</si>
  <si>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</si>
  <si>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</si>
  <si>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</si>
  <si>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</si>
  <si>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</si>
  <si>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</si>
  <si>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</si>
  <si>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</si>
  <si>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</si>
  <si>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</si>
  <si>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</si>
  <si>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</si>
  <si>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</si>
  <si>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</si>
  <si>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</si>
  <si>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COUNTRY CODE</t>
  </si>
  <si>
    <t>MANUFACTURING DATE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</si>
  <si>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</si>
  <si>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</si>
  <si>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</si>
  <si>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</si>
  <si>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</si>
  <si>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</si>
  <si>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</si>
  <si>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</si>
  <si>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</si>
  <si>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</si>
  <si>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</si>
  <si>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</si>
  <si>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</si>
  <si>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28-JAN</t>
  </si>
  <si>
    <t>15-FEB</t>
  </si>
  <si>
    <t>03-MAR</t>
  </si>
  <si>
    <t>11-APR</t>
  </si>
  <si>
    <t>22-MAY</t>
  </si>
  <si>
    <t>07-JUN</t>
  </si>
  <si>
    <t>19-JUL</t>
  </si>
  <si>
    <t>23-AUG</t>
  </si>
  <si>
    <t>05-SEP</t>
  </si>
  <si>
    <t>14-OCT</t>
  </si>
  <si>
    <t>17-JUN</t>
  </si>
  <si>
    <t>25-NOV</t>
  </si>
  <si>
    <t>08-DEC</t>
  </si>
  <si>
    <t>18-FEB</t>
  </si>
  <si>
    <t>16-APR</t>
  </si>
  <si>
    <t>21-AUG</t>
  </si>
  <si>
    <t>20-AUG</t>
  </si>
  <si>
    <t>27-JAN</t>
  </si>
  <si>
    <t>01-MAR</t>
  </si>
  <si>
    <t>14-AUG</t>
  </si>
  <si>
    <t>14-MAY</t>
  </si>
  <si>
    <t>09-JAN</t>
  </si>
  <si>
    <t>29-SEP</t>
  </si>
  <si>
    <t>03-JUN</t>
  </si>
  <si>
    <t>11-JUL</t>
  </si>
  <si>
    <t>07-MAR</t>
  </si>
  <si>
    <t>13-APR</t>
  </si>
  <si>
    <t>24-MAY</t>
  </si>
  <si>
    <t>02-DEC</t>
  </si>
  <si>
    <t>09-JUL</t>
  </si>
  <si>
    <t>price</t>
  </si>
  <si>
    <t>PRICE</t>
  </si>
  <si>
    <t>date</t>
  </si>
  <si>
    <t>Product Name2</t>
  </si>
  <si>
    <t>Column1</t>
  </si>
  <si>
    <t>Laptop Dell</t>
  </si>
  <si>
    <t>Sneakers Nike</t>
  </si>
  <si>
    <t>Coffee Maker Keurig</t>
  </si>
  <si>
    <t>Smartphone Samsung</t>
  </si>
  <si>
    <t>Backpack North Face</t>
  </si>
  <si>
    <t>Headphones Sony</t>
  </si>
  <si>
    <t>T-Shirt Adidas</t>
  </si>
  <si>
    <t>Blender Ninja</t>
  </si>
  <si>
    <t>Tablet Apple</t>
  </si>
  <si>
    <t>Hiking Boots Timberland</t>
  </si>
  <si>
    <t>Laptop HP</t>
  </si>
  <si>
    <t>Sneakers Adidas</t>
  </si>
  <si>
    <t>Coffee Maker Nespresso</t>
  </si>
  <si>
    <t>Smartwatch Fitbit</t>
  </si>
  <si>
    <t>Headphones Bose</t>
  </si>
  <si>
    <t>Laptop Bag Samsonite</t>
  </si>
  <si>
    <t>Smartwatch Huawei</t>
  </si>
  <si>
    <t>Laptop Asus</t>
  </si>
  <si>
    <t>Sunglasses Oakley</t>
  </si>
  <si>
    <t>Camping Tent Coleman</t>
  </si>
  <si>
    <t>Camera Nikon</t>
  </si>
  <si>
    <t>Microwave Panasonic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</si>
  <si>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</si>
  <si>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</si>
  <si>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</si>
  <si>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</si>
  <si>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</si>
  <si>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</si>
  <si>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</si>
  <si>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</si>
  <si>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Watch Casio</t>
  </si>
  <si>
    <t>28-01</t>
  </si>
  <si>
    <t>15-02</t>
  </si>
  <si>
    <t>03-03</t>
  </si>
  <si>
    <t>11-04</t>
  </si>
  <si>
    <t>22-05</t>
  </si>
  <si>
    <t>07-06</t>
  </si>
  <si>
    <t>19-07</t>
  </si>
  <si>
    <t>23-08</t>
  </si>
  <si>
    <t>05-09</t>
  </si>
  <si>
    <t>14-10</t>
  </si>
  <si>
    <t>17-06</t>
  </si>
  <si>
    <t>25-11</t>
  </si>
  <si>
    <t>08-12</t>
  </si>
  <si>
    <t>18-02</t>
  </si>
  <si>
    <t>16-04</t>
  </si>
  <si>
    <t>21-08</t>
  </si>
  <si>
    <t>20-08</t>
  </si>
  <si>
    <t>27-01</t>
  </si>
  <si>
    <t>01-03</t>
  </si>
  <si>
    <t>14-08</t>
  </si>
  <si>
    <t>14-05</t>
  </si>
  <si>
    <t>09-01</t>
  </si>
  <si>
    <t>29-09</t>
  </si>
  <si>
    <t>03-06</t>
  </si>
  <si>
    <t>11-07</t>
  </si>
  <si>
    <t>07-03</t>
  </si>
  <si>
    <t>13-04</t>
  </si>
  <si>
    <t>24-05</t>
  </si>
  <si>
    <t>02-12</t>
  </si>
  <si>
    <t>09-07</t>
  </si>
  <si>
    <t>CATEGORY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</si>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</sst>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&quot;₹&quot;\ #,##0.00"/>
  </numFmts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4DD0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14" fontId="0" fillId="0" borderId="0" xfId="0" applyNumberFormat="1" applyFont="1" applyAlignment="1"/>
    <xf numFmtId="164" fontId="0" fillId="0" borderId="0" xfId="0" applyNumberFormat="1" applyFont="1" applyAlignment="1"/>
    <xf numFmtId="0" fontId="7" fillId="4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165" fontId="0" fillId="0" borderId="0" xfId="0" applyNumberFormat="1" applyFont="1" applyAlignment="1">
      <alignment horizontal="center"/>
    </xf>
    <xf numFmtId="165" fontId="0" fillId="0" borderId="0" xfId="0" applyNumberFormat="1" applyFont="1" applyAlignme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right" vertical="bottom" textRotation="0" wrapText="0" indent="0" justifyLastLine="0" shrinkToFit="0" readingOrder="0"/>
    </dxf>
    <dxf>
      <numFmt numFmtId="165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335280</xdr:colOff>
      <xdr:row>2</xdr:row>
      <xdr:rowOff>129540</xdr:rowOff>
    </xdr:from>
    <xdr:to>
      <xdr:col>15</xdr:col>
      <xdr:colOff>571500</xdr:colOff>
      <xdr:row>20</xdr:row>
      <xdr:rowOff>76200</xdr:rowOff>
    </xdr:to>
    <xdr:sp macro="" textlink="">
      <xdr:nvSpPr>
        <xdr:cNvPr id="2" name="TextBox 1"/>
        <xdr:cNvSpPr txBox="1"/>
      </xdr:nvSpPr>
      <xdr:spPr>
        <a:xfrm>
          <a:off x="7239000" y="464820"/>
          <a:ext cx="6172200" cy="2964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Steps followed:</a:t>
          </a:r>
        </a:p>
        <a:p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Removed duplicate data in data set.</a:t>
          </a: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Changed electronics typo word in category column.</a:t>
          </a: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Using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PROPER()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propertied name in the product name</a:t>
          </a: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Using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flash fill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under home             fill separated country code</a:t>
          </a: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Using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LEFT()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manufacturing date is separated, formatted using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=DATEVALUE(A2)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using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TEXT()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it changed to “dd-mm” format. I have deleted “yyyy” since we can’t give current year for this data set because its previous data.</a:t>
          </a: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Using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CONCATENATE()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merged product name and brand name into product brand</a:t>
          </a: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Missing information in category section is filled by manual</a:t>
          </a: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 Using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AVERAGEIF()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missing data under-price column is filled.</a:t>
          </a: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 Price value changed to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currency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format</a:t>
          </a: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 Price value has been highlighted by using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bar</a:t>
          </a:r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 Using custom rule,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“Electronics”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name is highlighted in category column</a:t>
          </a: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 Finally, all cleaned dataset arranged in a separate excel sheet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n-IN" sz="1100"/>
        </a:p>
      </xdr:txBody>
    </xdr:sp>
    <xdr:clientData/>
  </xdr:twoCellAnchor>
  <xdr:twoCellAnchor>
    <xdr:from>
      <xdr:col>9</xdr:col>
      <xdr:colOff>76200</xdr:colOff>
      <xdr:row>8</xdr:row>
      <xdr:rowOff>60960</xdr:rowOff>
    </xdr:from>
    <xdr:to>
      <xdr:col>9</xdr:col>
      <xdr:colOff>403860</xdr:colOff>
      <xdr:row>8</xdr:row>
      <xdr:rowOff>66675</xdr:rowOff>
    </xdr:to>
    <xdr:cxnSp macro="">
      <xdr:nvCxnSpPr>
        <xdr:cNvPr id="3" name="Straight Arrow Connector 2"/>
        <xdr:cNvCxnSpPr/>
      </xdr:nvCxnSpPr>
      <xdr:spPr>
        <a:xfrm>
          <a:off x="9258300" y="1402080"/>
          <a:ext cx="327660" cy="571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id="1" name="Table1" displayName="Table1" ref="A1:M32" totalsRowShown="0" headerRowDxfId="14">
  <autoFilter ref="A1:M32"/>
  <tableColumns count="13">
    <tableColumn id="1" name="Product ID" dataDxfId="13"/>
    <tableColumn id="2" name="Product Name" dataDxfId="12"/>
    <tableColumn id="3" name="Brand Name" dataDxfId="11"/>
    <tableColumn id="4" name="Price ($)" dataDxfId="10"/>
    <tableColumn id="5" name="Quantity" dataDxfId="9"/>
    <tableColumn id="6" name="Category" dataDxfId="8"/>
    <tableColumn id="7" name="Product Name2">
      <calculatedColumnFormula>PROPER(B2)</calculatedColumnFormula>
    </tableColumn>
    <tableColumn id="8" name="COUNTRY CODE"/>
    <tableColumn id="9" name="MANUFACTURING DATE">
      <calculatedColumnFormula>LEFT(A2,6)</calculatedColumnFormula>
    </tableColumn>
    <tableColumn id="10" name="PRODUCT BRAND">
      <calculatedColumnFormula>CONCATENATE(G2," ", C2)</calculatedColumnFormula>
    </tableColumn>
    <tableColumn id="11" name="price" dataDxfId="7">
      <calculatedColumnFormula>IF(D2="",AVERAGE($D$2:$D$32),D2)</calculatedColumnFormula>
    </tableColumn>
    <tableColumn id="12" name="date" dataDxfId="6"/>
    <tableColumn id="13" name="Column1" dataDxfId="5">
      <calculatedColumnFormula>TEXT(Table1[[#This Row],[date]],"DD-MM")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32" totalsRowShown="0" headerRowDxfId="2">
  <autoFilter ref="A1:F32"/>
  <tableColumns count="6">
    <tableColumn id="1" name="PRODUCT BRAND"/>
    <tableColumn id="2" name="PRICE" dataDxfId="1"/>
    <tableColumn id="3" name="QUANTITY"/>
    <tableColumn id="4" name="CATEGORY"/>
    <tableColumn id="5" name="MANUFACTURING DATE" dataDxfId="0"/>
    <tableColumn id="6" name="COUNTRY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showGridLines="0" workbookViewId="0">
      <selection activeCell="F32" sqref="F3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3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3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3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3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3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3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3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3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3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workbookViewId="0">
      <selection activeCell="G9" sqref="G9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16" ht="15.75" customHeight="1" x14ac:dyDescent="0.25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16" ht="15.75" customHeight="1" x14ac:dyDescent="0.3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I3" s="5"/>
      <c r="J3" s="6"/>
      <c r="K3" s="6"/>
      <c r="L3" s="6"/>
      <c r="M3" s="6"/>
      <c r="N3" s="6"/>
      <c r="O3" s="6"/>
      <c r="P3" s="6"/>
    </row>
    <row r="4" spans="1:16" ht="15.75" customHeight="1" x14ac:dyDescent="0.3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I4" s="6"/>
      <c r="J4" s="7"/>
      <c r="K4" s="6"/>
      <c r="L4" s="6"/>
      <c r="M4" s="6"/>
      <c r="N4" s="6"/>
      <c r="O4" s="6"/>
      <c r="P4" s="6"/>
    </row>
    <row r="5" spans="1:16" ht="15.75" customHeight="1" x14ac:dyDescent="0.3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I5" s="6"/>
      <c r="J5" s="7"/>
      <c r="K5" s="6"/>
      <c r="L5" s="6"/>
      <c r="M5" s="6"/>
      <c r="N5" s="6"/>
      <c r="O5" s="6"/>
      <c r="P5" s="6"/>
    </row>
    <row r="6" spans="1:16" ht="15.75" customHeight="1" x14ac:dyDescent="0.25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16" ht="15.75" customHeight="1" x14ac:dyDescent="0.25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</row>
    <row r="8" spans="1:16" ht="15.75" customHeight="1" x14ac:dyDescent="0.25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16" ht="15.75" customHeight="1" x14ac:dyDescent="0.25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16" ht="15.75" customHeight="1" x14ac:dyDescent="0.25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16" ht="15.75" customHeight="1" x14ac:dyDescent="0.25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16" ht="15.75" customHeight="1" x14ac:dyDescent="0.25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16" ht="15.75" customHeight="1" x14ac:dyDescent="0.25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</row>
    <row r="14" spans="1:16" ht="15.75" customHeight="1" x14ac:dyDescent="0.25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</row>
    <row r="15" spans="1:16" ht="15.75" customHeight="1" x14ac:dyDescent="0.25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</row>
    <row r="16" spans="1:16" ht="15.75" customHeight="1" x14ac:dyDescent="0.25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</row>
    <row r="17" spans="1:6" ht="15.75" customHeight="1" x14ac:dyDescent="0.25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 ht="15.75" customHeight="1" x14ac:dyDescent="0.25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</row>
    <row r="19" spans="1:6" ht="15.75" customHeight="1" x14ac:dyDescent="0.25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 ht="15.75" customHeight="1" x14ac:dyDescent="0.25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 ht="15.75" customHeight="1" x14ac:dyDescent="0.25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</row>
    <row r="22" spans="1:6" ht="15.75" customHeight="1" x14ac:dyDescent="0.25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 ht="15.75" customHeight="1" x14ac:dyDescent="0.25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 ht="15.75" customHeight="1" x14ac:dyDescent="0.25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</row>
    <row r="25" spans="1:6" ht="15.75" customHeight="1" x14ac:dyDescent="0.25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 ht="15.75" customHeight="1" x14ac:dyDescent="0.25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 ht="15.75" customHeight="1" x14ac:dyDescent="0.25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</row>
    <row r="28" spans="1:6" ht="15.75" customHeight="1" x14ac:dyDescent="0.25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 ht="15.75" customHeight="1" x14ac:dyDescent="0.25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</row>
    <row r="30" spans="1:6" ht="15.75" customHeight="1" x14ac:dyDescent="0.25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 ht="15.75" customHeight="1" x14ac:dyDescent="0.25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 ht="15.75" customHeight="1" x14ac:dyDescent="0.25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 ht="15.75" customHeight="1" x14ac:dyDescent="0.25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 ht="15.75" customHeight="1" x14ac:dyDescent="0.25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 ht="15.75" customHeight="1" x14ac:dyDescent="0.25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L9" sqref="L9"/>
    </sheetView>
  </sheetViews>
  <sheetFormatPr defaultRowHeight="13.2" x14ac:dyDescent="0.25"/>
  <cols>
    <col min="1" max="1" width="14.77734375" bestFit="1" customWidth="1"/>
    <col min="2" max="2" width="18" bestFit="1" customWidth="1"/>
    <col min="3" max="3" width="16.21875" bestFit="1" customWidth="1"/>
    <col min="4" max="4" width="12.77734375" bestFit="1" customWidth="1"/>
    <col min="5" max="5" width="12.88671875" bestFit="1" customWidth="1"/>
    <col min="6" max="6" width="13.44140625" bestFit="1" customWidth="1"/>
    <col min="7" max="7" width="18" bestFit="1" customWidth="1"/>
    <col min="8" max="8" width="20.44140625" bestFit="1" customWidth="1"/>
    <col min="9" max="9" width="24.33203125" customWidth="1"/>
    <col min="10" max="10" width="21.44140625" bestFit="1" customWidth="1"/>
    <col min="12" max="12" width="10.33203125" bestFit="1" customWidth="1"/>
  </cols>
  <sheetData>
    <row r="1" spans="1:13" x14ac:dyDescent="0.25">
      <c r="A1" s="9" t="s">
        <v>19</v>
      </c>
      <c r="B1" s="9" t="s">
        <v>20</v>
      </c>
      <c r="C1" s="9" t="s">
        <v>21</v>
      </c>
      <c r="D1" s="9" t="s">
        <v>22</v>
      </c>
      <c r="E1" s="14" t="s">
        <v>23</v>
      </c>
      <c r="F1" s="14" t="s">
        <v>24</v>
      </c>
      <c r="G1" s="9" t="s">
        <v>164</v>
      </c>
      <c r="H1" s="14" t="s">
        <v>116</v>
      </c>
      <c r="I1" s="9" t="s">
        <v>117</v>
      </c>
      <c r="J1" s="14" t="s">
        <v>130</v>
      </c>
      <c r="K1" s="14" t="s">
        <v>161</v>
      </c>
      <c r="L1" s="9" t="s">
        <v>163</v>
      </c>
      <c r="M1" s="14" t="s">
        <v>165</v>
      </c>
    </row>
    <row r="2" spans="1:13" x14ac:dyDescent="0.25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  <c r="G2" t="str">
        <f>PROPER(B2)</f>
        <v>Laptop</v>
      </c>
      <c r="H2" t="s">
        <v>118</v>
      </c>
      <c r="I2" t="str">
        <f>LEFT(A2,6)</f>
        <v>28-JAN</v>
      </c>
      <c r="J2" t="str">
        <f>CONCATENATE(G2," ", C2)</f>
        <v>Laptop Dell</v>
      </c>
      <c r="K2">
        <f t="shared" ref="K2:K32" si="0">IF(D2="",AVERAGE($D$2:$D$32),D2)</f>
        <v>1000</v>
      </c>
      <c r="L2" s="12">
        <v>46050</v>
      </c>
      <c r="M2" t="str">
        <f>TEXT(Table1[[#This Row],[date]],"DD-MM")</f>
        <v>28-01</v>
      </c>
    </row>
    <row r="3" spans="1:13" x14ac:dyDescent="0.25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G3" t="str">
        <f t="shared" ref="G3:G32" si="1">PROPER(B3)</f>
        <v>Sneakers</v>
      </c>
      <c r="H3" t="s">
        <v>118</v>
      </c>
      <c r="I3" t="str">
        <f t="shared" ref="I3:I32" si="2">LEFT(A3,6)</f>
        <v>15-FEB</v>
      </c>
      <c r="J3" t="str">
        <f t="shared" ref="J3:J32" si="3">CONCATENATE(G3," ", C3)</f>
        <v>Sneakers Nike</v>
      </c>
      <c r="K3">
        <f t="shared" si="0"/>
        <v>80</v>
      </c>
      <c r="L3" s="12">
        <v>46068</v>
      </c>
      <c r="M3" t="str">
        <f>TEXT(Table1[[#This Row],[date]],"DD-MM")</f>
        <v>15-02</v>
      </c>
    </row>
    <row r="4" spans="1:13" x14ac:dyDescent="0.25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G4" t="str">
        <f t="shared" si="1"/>
        <v>Coffee Maker</v>
      </c>
      <c r="H4" t="s">
        <v>118</v>
      </c>
      <c r="I4" t="str">
        <f t="shared" si="2"/>
        <v>03-MAR</v>
      </c>
      <c r="J4" t="str">
        <f t="shared" si="3"/>
        <v>Coffee Maker Keurig</v>
      </c>
      <c r="K4">
        <f t="shared" si="0"/>
        <v>130</v>
      </c>
      <c r="L4" s="12">
        <v>46084</v>
      </c>
      <c r="M4" t="str">
        <f>TEXT(Table1[[#This Row],[date]],"DD-MM")</f>
        <v>03-03</v>
      </c>
    </row>
    <row r="5" spans="1:13" x14ac:dyDescent="0.25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G5" t="str">
        <f t="shared" si="1"/>
        <v>Smartphone</v>
      </c>
      <c r="H5" t="s">
        <v>118</v>
      </c>
      <c r="I5" t="str">
        <f t="shared" si="2"/>
        <v>11-APR</v>
      </c>
      <c r="J5" t="str">
        <f t="shared" si="3"/>
        <v>Smartphone Samsung</v>
      </c>
      <c r="K5">
        <f t="shared" si="0"/>
        <v>900</v>
      </c>
      <c r="L5" s="12">
        <v>46123</v>
      </c>
      <c r="M5" t="str">
        <f>TEXT(Table1[[#This Row],[date]],"DD-MM")</f>
        <v>11-04</v>
      </c>
    </row>
    <row r="6" spans="1:13" x14ac:dyDescent="0.25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 t="s">
        <v>32</v>
      </c>
      <c r="G6" t="str">
        <f t="shared" si="1"/>
        <v>Backpack</v>
      </c>
      <c r="H6" t="s">
        <v>118</v>
      </c>
      <c r="I6" t="str">
        <f t="shared" si="2"/>
        <v>22-MAY</v>
      </c>
      <c r="J6" t="str">
        <f t="shared" si="3"/>
        <v>Backpack North Face</v>
      </c>
      <c r="K6">
        <f t="shared" si="0"/>
        <v>70</v>
      </c>
      <c r="L6" s="12">
        <v>46164</v>
      </c>
      <c r="M6" t="str">
        <f>TEXT(Table1[[#This Row],[date]],"DD-MM")</f>
        <v>22-05</v>
      </c>
    </row>
    <row r="7" spans="1:13" x14ac:dyDescent="0.25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28</v>
      </c>
      <c r="G7" t="str">
        <f t="shared" si="1"/>
        <v>Headphones</v>
      </c>
      <c r="H7" t="s">
        <v>119</v>
      </c>
      <c r="I7" t="str">
        <f t="shared" si="2"/>
        <v>07-JUN</v>
      </c>
      <c r="J7" t="str">
        <f t="shared" si="3"/>
        <v>Headphones Sony</v>
      </c>
      <c r="K7">
        <f t="shared" si="0"/>
        <v>297.85714285714283</v>
      </c>
      <c r="L7" s="12">
        <v>46180</v>
      </c>
      <c r="M7" t="str">
        <f>TEXT(Table1[[#This Row],[date]],"DD-MM")</f>
        <v>07-06</v>
      </c>
    </row>
    <row r="8" spans="1:13" x14ac:dyDescent="0.25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  <c r="G8" t="str">
        <f t="shared" si="1"/>
        <v>T-Shirt</v>
      </c>
      <c r="H8" t="s">
        <v>119</v>
      </c>
      <c r="I8" t="str">
        <f t="shared" si="2"/>
        <v>19-JUL</v>
      </c>
      <c r="J8" t="str">
        <f t="shared" si="3"/>
        <v>T-Shirt Adidas</v>
      </c>
      <c r="K8">
        <f t="shared" si="0"/>
        <v>30</v>
      </c>
      <c r="L8" s="12">
        <v>46222</v>
      </c>
      <c r="M8" t="str">
        <f>TEXT(Table1[[#This Row],[date]],"DD-MM")</f>
        <v>19-07</v>
      </c>
    </row>
    <row r="9" spans="1:13" x14ac:dyDescent="0.25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  <c r="G9" t="str">
        <f t="shared" si="1"/>
        <v>Blender</v>
      </c>
      <c r="H9" t="s">
        <v>119</v>
      </c>
      <c r="I9" t="str">
        <f t="shared" si="2"/>
        <v>23-AUG</v>
      </c>
      <c r="J9" t="str">
        <f t="shared" si="3"/>
        <v>Blender Ninja</v>
      </c>
      <c r="K9">
        <f t="shared" si="0"/>
        <v>90</v>
      </c>
      <c r="L9" s="12">
        <v>46257</v>
      </c>
      <c r="M9" t="str">
        <f>TEXT(Table1[[#This Row],[date]],"DD-MM")</f>
        <v>23-08</v>
      </c>
    </row>
    <row r="10" spans="1:13" x14ac:dyDescent="0.25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  <c r="G10" t="str">
        <f t="shared" si="1"/>
        <v>Tablet</v>
      </c>
      <c r="H10" t="s">
        <v>119</v>
      </c>
      <c r="I10" t="str">
        <f t="shared" si="2"/>
        <v>05-SEP</v>
      </c>
      <c r="J10" t="str">
        <f t="shared" si="3"/>
        <v>Tablet Apple</v>
      </c>
      <c r="K10">
        <f t="shared" si="0"/>
        <v>500</v>
      </c>
      <c r="L10" s="12">
        <v>46270</v>
      </c>
      <c r="M10" t="str">
        <f>TEXT(Table1[[#This Row],[date]],"DD-MM")</f>
        <v>05-09</v>
      </c>
    </row>
    <row r="11" spans="1:13" x14ac:dyDescent="0.25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  <c r="G11" t="str">
        <f t="shared" si="1"/>
        <v>Hiking Boots</v>
      </c>
      <c r="H11" t="s">
        <v>119</v>
      </c>
      <c r="I11" t="str">
        <f t="shared" si="2"/>
        <v>14-OCT</v>
      </c>
      <c r="J11" t="str">
        <f t="shared" si="3"/>
        <v>Hiking Boots Timberland</v>
      </c>
      <c r="K11">
        <f t="shared" si="0"/>
        <v>130</v>
      </c>
      <c r="L11" s="12">
        <v>46309</v>
      </c>
      <c r="M11" t="str">
        <f>TEXT(Table1[[#This Row],[date]],"DD-MM")</f>
        <v>14-10</v>
      </c>
    </row>
    <row r="12" spans="1:13" x14ac:dyDescent="0.25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  <c r="G12" t="str">
        <f t="shared" si="1"/>
        <v>Laptop</v>
      </c>
      <c r="H12" t="s">
        <v>120</v>
      </c>
      <c r="I12" t="str">
        <f t="shared" si="2"/>
        <v>17-JUN</v>
      </c>
      <c r="J12" t="str">
        <f t="shared" si="3"/>
        <v>Laptop HP</v>
      </c>
      <c r="K12">
        <f t="shared" si="0"/>
        <v>950</v>
      </c>
      <c r="L12" s="12">
        <v>46190</v>
      </c>
      <c r="M12" t="str">
        <f>TEXT(Table1[[#This Row],[date]],"DD-MM")</f>
        <v>17-06</v>
      </c>
    </row>
    <row r="13" spans="1:13" x14ac:dyDescent="0.25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 t="s">
        <v>32</v>
      </c>
      <c r="G13" t="str">
        <f t="shared" si="1"/>
        <v>Sneakers</v>
      </c>
      <c r="H13" t="s">
        <v>121</v>
      </c>
      <c r="I13" t="str">
        <f t="shared" si="2"/>
        <v>25-NOV</v>
      </c>
      <c r="J13" t="str">
        <f t="shared" si="3"/>
        <v>Sneakers Adidas</v>
      </c>
      <c r="K13">
        <f t="shared" si="0"/>
        <v>90</v>
      </c>
      <c r="L13" s="12">
        <v>46351</v>
      </c>
      <c r="M13" t="str">
        <f>TEXT(Table1[[#This Row],[date]],"DD-MM")</f>
        <v>25-11</v>
      </c>
    </row>
    <row r="14" spans="1:13" x14ac:dyDescent="0.25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 t="s">
        <v>28</v>
      </c>
      <c r="G14" t="str">
        <f t="shared" si="1"/>
        <v>Coffee Maker</v>
      </c>
      <c r="H14" t="s">
        <v>122</v>
      </c>
      <c r="I14" t="str">
        <f t="shared" si="2"/>
        <v>08-DEC</v>
      </c>
      <c r="J14" t="str">
        <f t="shared" si="3"/>
        <v>Coffee Maker Nespresso</v>
      </c>
      <c r="K14">
        <f t="shared" si="0"/>
        <v>120</v>
      </c>
      <c r="L14" s="12">
        <v>46364</v>
      </c>
      <c r="M14" t="str">
        <f>TEXT(Table1[[#This Row],[date]],"DD-MM")</f>
        <v>08-12</v>
      </c>
    </row>
    <row r="15" spans="1:13" x14ac:dyDescent="0.25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28</v>
      </c>
      <c r="G15" t="str">
        <f t="shared" si="1"/>
        <v>Smartwatch</v>
      </c>
      <c r="H15" t="s">
        <v>123</v>
      </c>
      <c r="I15" t="str">
        <f t="shared" si="2"/>
        <v>18-FEB</v>
      </c>
      <c r="J15" t="str">
        <f t="shared" si="3"/>
        <v>Smartwatch Fitbit</v>
      </c>
      <c r="K15">
        <f t="shared" si="0"/>
        <v>150</v>
      </c>
      <c r="L15" s="12">
        <v>46071</v>
      </c>
      <c r="M15" t="str">
        <f>TEXT(Table1[[#This Row],[date]],"DD-MM")</f>
        <v>18-02</v>
      </c>
    </row>
    <row r="16" spans="1:13" x14ac:dyDescent="0.25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28</v>
      </c>
      <c r="G16" t="str">
        <f t="shared" si="1"/>
        <v>Headphones</v>
      </c>
      <c r="H16" t="s">
        <v>124</v>
      </c>
      <c r="I16" t="str">
        <f t="shared" si="2"/>
        <v>16-APR</v>
      </c>
      <c r="J16" t="str">
        <f t="shared" si="3"/>
        <v>Headphones Bose</v>
      </c>
      <c r="K16">
        <f t="shared" si="0"/>
        <v>250</v>
      </c>
      <c r="L16" s="12">
        <v>46128</v>
      </c>
      <c r="M16" t="str">
        <f>TEXT(Table1[[#This Row],[date]],"DD-MM")</f>
        <v>16-04</v>
      </c>
    </row>
    <row r="17" spans="1:13" x14ac:dyDescent="0.25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  <c r="G17" t="str">
        <f t="shared" si="1"/>
        <v>Laptop Bag</v>
      </c>
      <c r="H17" t="s">
        <v>123</v>
      </c>
      <c r="I17" t="str">
        <f t="shared" si="2"/>
        <v>21-AUG</v>
      </c>
      <c r="J17" t="str">
        <f t="shared" si="3"/>
        <v>Laptop Bag Samsonite</v>
      </c>
      <c r="K17">
        <f t="shared" si="0"/>
        <v>50</v>
      </c>
      <c r="L17" s="12">
        <v>46255</v>
      </c>
      <c r="M17" t="str">
        <f>TEXT(Table1[[#This Row],[date]],"DD-MM")</f>
        <v>21-08</v>
      </c>
    </row>
    <row r="18" spans="1:13" x14ac:dyDescent="0.25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28</v>
      </c>
      <c r="G18" t="str">
        <f t="shared" si="1"/>
        <v>Smartwatch</v>
      </c>
      <c r="H18" t="s">
        <v>125</v>
      </c>
      <c r="I18" t="str">
        <f t="shared" si="2"/>
        <v>20-AUG</v>
      </c>
      <c r="J18" t="str">
        <f t="shared" si="3"/>
        <v>Smartwatch Huawei</v>
      </c>
      <c r="K18">
        <f t="shared" si="0"/>
        <v>160</v>
      </c>
      <c r="L18" s="12">
        <v>46254</v>
      </c>
      <c r="M18" t="str">
        <f>TEXT(Table1[[#This Row],[date]],"DD-MM")</f>
        <v>20-08</v>
      </c>
    </row>
    <row r="19" spans="1:13" x14ac:dyDescent="0.25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  <c r="G19" t="str">
        <f t="shared" si="1"/>
        <v>Laptop</v>
      </c>
      <c r="H19" t="s">
        <v>126</v>
      </c>
      <c r="I19" t="str">
        <f t="shared" si="2"/>
        <v>27-JAN</v>
      </c>
      <c r="J19" t="str">
        <f t="shared" si="3"/>
        <v>Laptop Asus</v>
      </c>
      <c r="K19">
        <f t="shared" si="0"/>
        <v>980</v>
      </c>
      <c r="L19" s="12">
        <v>46049</v>
      </c>
      <c r="M19" t="str">
        <f>TEXT(Table1[[#This Row],[date]],"DD-MM")</f>
        <v>27-01</v>
      </c>
    </row>
    <row r="20" spans="1:13" x14ac:dyDescent="0.25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  <c r="G20" t="str">
        <f t="shared" si="1"/>
        <v>Sunglasses</v>
      </c>
      <c r="H20" t="s">
        <v>119</v>
      </c>
      <c r="I20" t="str">
        <f t="shared" si="2"/>
        <v>01-MAR</v>
      </c>
      <c r="J20" t="str">
        <f t="shared" si="3"/>
        <v>Sunglasses Oakley</v>
      </c>
      <c r="K20">
        <f t="shared" si="0"/>
        <v>150</v>
      </c>
      <c r="L20" s="12">
        <v>46082</v>
      </c>
      <c r="M20" t="str">
        <f>TEXT(Table1[[#This Row],[date]],"DD-MM")</f>
        <v>01-03</v>
      </c>
    </row>
    <row r="21" spans="1:13" x14ac:dyDescent="0.25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  <c r="G21" t="str">
        <f t="shared" si="1"/>
        <v>Camping Tent</v>
      </c>
      <c r="H21" t="s">
        <v>118</v>
      </c>
      <c r="I21" t="str">
        <f t="shared" si="2"/>
        <v>14-AUG</v>
      </c>
      <c r="J21" t="str">
        <f t="shared" si="3"/>
        <v>Camping Tent Coleman</v>
      </c>
      <c r="K21">
        <f t="shared" si="0"/>
        <v>297.85714285714283</v>
      </c>
      <c r="L21" s="12">
        <v>46248</v>
      </c>
      <c r="M21" t="str">
        <f>TEXT(Table1[[#This Row],[date]],"DD-MM")</f>
        <v>14-08</v>
      </c>
    </row>
    <row r="22" spans="1:13" x14ac:dyDescent="0.25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  <c r="G22" t="str">
        <f t="shared" si="1"/>
        <v>Camera</v>
      </c>
      <c r="H22" t="s">
        <v>127</v>
      </c>
      <c r="I22" t="str">
        <f t="shared" si="2"/>
        <v>14-MAY</v>
      </c>
      <c r="J22" t="str">
        <f t="shared" si="3"/>
        <v>Camera Nikon</v>
      </c>
      <c r="K22">
        <f t="shared" si="0"/>
        <v>700</v>
      </c>
      <c r="L22" s="12">
        <v>46156</v>
      </c>
      <c r="M22" t="str">
        <f>TEXT(Table1[[#This Row],[date]],"DD-MM")</f>
        <v>14-05</v>
      </c>
    </row>
    <row r="23" spans="1:13" x14ac:dyDescent="0.25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  <c r="G23" t="str">
        <f t="shared" si="1"/>
        <v>Microwave</v>
      </c>
      <c r="H23" t="s">
        <v>123</v>
      </c>
      <c r="I23" t="str">
        <f t="shared" si="2"/>
        <v>09-JAN</v>
      </c>
      <c r="J23" t="str">
        <f t="shared" si="3"/>
        <v>Microwave Panasonic</v>
      </c>
      <c r="K23">
        <f t="shared" si="0"/>
        <v>80</v>
      </c>
      <c r="L23" s="12">
        <v>46031</v>
      </c>
      <c r="M23" t="str">
        <f>TEXT(Table1[[#This Row],[date]],"DD-MM")</f>
        <v>09-01</v>
      </c>
    </row>
    <row r="24" spans="1:13" x14ac:dyDescent="0.25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 t="s">
        <v>28</v>
      </c>
      <c r="G24" t="str">
        <f t="shared" si="1"/>
        <v>Fitness Tracker</v>
      </c>
      <c r="H24" t="s">
        <v>128</v>
      </c>
      <c r="I24" t="str">
        <f t="shared" si="2"/>
        <v>19-JUL</v>
      </c>
      <c r="J24" t="str">
        <f t="shared" si="3"/>
        <v>Fitness Tracker Xiaomi</v>
      </c>
      <c r="K24">
        <f t="shared" si="0"/>
        <v>150</v>
      </c>
      <c r="L24" s="12">
        <v>46222</v>
      </c>
      <c r="M24" t="str">
        <f>TEXT(Table1[[#This Row],[date]],"DD-MM")</f>
        <v>19-07</v>
      </c>
    </row>
    <row r="25" spans="1:13" x14ac:dyDescent="0.25">
      <c r="A25" s="10" t="s">
        <v>95</v>
      </c>
      <c r="B25" s="10" t="s">
        <v>96</v>
      </c>
      <c r="C25" s="10" t="s">
        <v>97</v>
      </c>
      <c r="D25" s="10">
        <v>800</v>
      </c>
      <c r="E25" s="10">
        <v>45</v>
      </c>
      <c r="F25" s="10" t="s">
        <v>28</v>
      </c>
      <c r="G25" t="str">
        <f t="shared" si="1"/>
        <v>Smartphone</v>
      </c>
      <c r="H25" t="s">
        <v>123</v>
      </c>
      <c r="I25" t="str">
        <f t="shared" si="2"/>
        <v>29-SEP</v>
      </c>
      <c r="J25" t="str">
        <f t="shared" si="3"/>
        <v>Smartphone Google</v>
      </c>
      <c r="K25">
        <f t="shared" si="0"/>
        <v>800</v>
      </c>
      <c r="L25" s="12">
        <v>46294</v>
      </c>
      <c r="M25" t="str">
        <f>TEXT(Table1[[#This Row],[date]],"DD-MM")</f>
        <v>29-09</v>
      </c>
    </row>
    <row r="26" spans="1:13" x14ac:dyDescent="0.25">
      <c r="A26" s="11" t="s">
        <v>98</v>
      </c>
      <c r="B26" s="11" t="s">
        <v>81</v>
      </c>
      <c r="C26" s="11" t="s">
        <v>99</v>
      </c>
      <c r="D26" s="11"/>
      <c r="E26" s="11">
        <v>25</v>
      </c>
      <c r="F26" s="11" t="s">
        <v>32</v>
      </c>
      <c r="G26" t="str">
        <f t="shared" si="1"/>
        <v>Sunglasses</v>
      </c>
      <c r="H26" t="s">
        <v>123</v>
      </c>
      <c r="I26" t="str">
        <f t="shared" si="2"/>
        <v>03-JUN</v>
      </c>
      <c r="J26" t="str">
        <f t="shared" si="3"/>
        <v>Sunglasses Ray-Ban</v>
      </c>
      <c r="K26">
        <f t="shared" si="0"/>
        <v>297.85714285714283</v>
      </c>
      <c r="L26" s="12">
        <v>46176</v>
      </c>
      <c r="M26" t="str">
        <f>TEXT(Table1[[#This Row],[date]],"DD-MM")</f>
        <v>03-06</v>
      </c>
    </row>
    <row r="27" spans="1:13" x14ac:dyDescent="0.25">
      <c r="A27" s="10" t="s">
        <v>100</v>
      </c>
      <c r="B27" s="10" t="s">
        <v>51</v>
      </c>
      <c r="C27" s="10" t="s">
        <v>101</v>
      </c>
      <c r="D27" s="10">
        <v>400</v>
      </c>
      <c r="E27" s="10">
        <v>40</v>
      </c>
      <c r="F27" s="10" t="s">
        <v>36</v>
      </c>
      <c r="G27" t="str">
        <f t="shared" si="1"/>
        <v>Blender</v>
      </c>
      <c r="H27" t="s">
        <v>123</v>
      </c>
      <c r="I27" t="str">
        <f t="shared" si="2"/>
        <v>11-JUL</v>
      </c>
      <c r="J27" t="str">
        <f t="shared" si="3"/>
        <v>Blender Vitamix</v>
      </c>
      <c r="K27">
        <f t="shared" si="0"/>
        <v>400</v>
      </c>
      <c r="L27" s="12">
        <v>46214</v>
      </c>
      <c r="M27" t="str">
        <f>TEXT(Table1[[#This Row],[date]],"DD-MM")</f>
        <v>11-07</v>
      </c>
    </row>
    <row r="28" spans="1:13" x14ac:dyDescent="0.25">
      <c r="A28" s="10" t="s">
        <v>102</v>
      </c>
      <c r="B28" s="10" t="s">
        <v>103</v>
      </c>
      <c r="C28" s="10" t="s">
        <v>104</v>
      </c>
      <c r="D28" s="10">
        <v>60</v>
      </c>
      <c r="E28" s="10">
        <v>30</v>
      </c>
      <c r="F28" s="10" t="s">
        <v>32</v>
      </c>
      <c r="G28" t="str">
        <f t="shared" si="1"/>
        <v>Dress</v>
      </c>
      <c r="H28" t="s">
        <v>123</v>
      </c>
      <c r="I28" t="str">
        <f t="shared" si="2"/>
        <v>07-MAR</v>
      </c>
      <c r="J28" t="str">
        <f t="shared" si="3"/>
        <v>Dress Zara</v>
      </c>
      <c r="K28">
        <f t="shared" si="0"/>
        <v>60</v>
      </c>
      <c r="L28" s="12">
        <v>46088</v>
      </c>
      <c r="M28" t="str">
        <f>TEXT(Table1[[#This Row],[date]],"DD-MM")</f>
        <v>07-03</v>
      </c>
    </row>
    <row r="29" spans="1:13" x14ac:dyDescent="0.25">
      <c r="A29" s="11" t="s">
        <v>105</v>
      </c>
      <c r="B29" s="11" t="s">
        <v>106</v>
      </c>
      <c r="C29" s="11" t="s">
        <v>107</v>
      </c>
      <c r="D29" s="11">
        <v>40</v>
      </c>
      <c r="E29" s="11">
        <v>10</v>
      </c>
      <c r="F29" s="11" t="s">
        <v>36</v>
      </c>
      <c r="G29" t="str">
        <f t="shared" si="1"/>
        <v>Toaster</v>
      </c>
      <c r="H29" t="s">
        <v>123</v>
      </c>
      <c r="I29" t="str">
        <f t="shared" si="2"/>
        <v>13-APR</v>
      </c>
      <c r="J29" t="str">
        <f t="shared" si="3"/>
        <v>Toaster Hamilton</v>
      </c>
      <c r="K29">
        <f t="shared" si="0"/>
        <v>40</v>
      </c>
      <c r="L29" s="12">
        <v>46125</v>
      </c>
      <c r="M29" t="str">
        <f>TEXT(Table1[[#This Row],[date]],"DD-MM")</f>
        <v>13-04</v>
      </c>
    </row>
    <row r="30" spans="1:13" x14ac:dyDescent="0.25">
      <c r="A30" s="10" t="s">
        <v>108</v>
      </c>
      <c r="B30" s="10" t="s">
        <v>93</v>
      </c>
      <c r="C30" s="10" t="s">
        <v>109</v>
      </c>
      <c r="D30" s="10">
        <v>130</v>
      </c>
      <c r="E30" s="10">
        <v>5</v>
      </c>
      <c r="F30" s="10" t="s">
        <v>28</v>
      </c>
      <c r="G30" t="str">
        <f t="shared" si="1"/>
        <v>Fitness Tracker</v>
      </c>
      <c r="H30" t="s">
        <v>123</v>
      </c>
      <c r="I30" t="str">
        <f t="shared" si="2"/>
        <v>24-MAY</v>
      </c>
      <c r="J30" t="str">
        <f t="shared" si="3"/>
        <v>Fitness Tracker Garmin</v>
      </c>
      <c r="K30">
        <f t="shared" si="0"/>
        <v>130</v>
      </c>
      <c r="L30" s="12">
        <v>46166</v>
      </c>
      <c r="M30" t="str">
        <f>TEXT(Table1[[#This Row],[date]],"DD-MM")</f>
        <v>24-05</v>
      </c>
    </row>
    <row r="31" spans="1:13" x14ac:dyDescent="0.25">
      <c r="A31" s="11" t="s">
        <v>110</v>
      </c>
      <c r="B31" s="11" t="s">
        <v>111</v>
      </c>
      <c r="C31" s="11" t="s">
        <v>112</v>
      </c>
      <c r="D31" s="11">
        <v>50</v>
      </c>
      <c r="E31" s="11">
        <v>50</v>
      </c>
      <c r="F31" s="11" t="s">
        <v>32</v>
      </c>
      <c r="G31" t="str">
        <f t="shared" si="1"/>
        <v>Jeans</v>
      </c>
      <c r="H31" t="s">
        <v>123</v>
      </c>
      <c r="I31" t="str">
        <f t="shared" si="2"/>
        <v>02-DEC</v>
      </c>
      <c r="J31" t="str">
        <f t="shared" si="3"/>
        <v>Jeans Levi's</v>
      </c>
      <c r="K31">
        <f t="shared" si="0"/>
        <v>50</v>
      </c>
      <c r="L31" s="12">
        <v>46358</v>
      </c>
      <c r="M31" t="str">
        <f>TEXT(Table1[[#This Row],[date]],"DD-MM")</f>
        <v>02-12</v>
      </c>
    </row>
    <row r="32" spans="1:13" x14ac:dyDescent="0.25">
      <c r="A32" s="11" t="s">
        <v>113</v>
      </c>
      <c r="B32" s="11" t="s">
        <v>114</v>
      </c>
      <c r="C32" s="11" t="s">
        <v>115</v>
      </c>
      <c r="D32" s="11">
        <v>100</v>
      </c>
      <c r="E32" s="11">
        <v>20</v>
      </c>
      <c r="F32" s="11" t="s">
        <v>75</v>
      </c>
      <c r="G32" t="str">
        <f t="shared" si="1"/>
        <v>Watch</v>
      </c>
      <c r="H32" t="s">
        <v>129</v>
      </c>
      <c r="I32" t="str">
        <f t="shared" si="2"/>
        <v>09-JUL</v>
      </c>
      <c r="J32" t="str">
        <f t="shared" si="3"/>
        <v>Watch Casio</v>
      </c>
      <c r="K32">
        <f t="shared" si="0"/>
        <v>100</v>
      </c>
      <c r="L32" s="12">
        <v>46212</v>
      </c>
      <c r="M32" t="str">
        <f>TEXT(Table1[[#This Row],[date]],"DD-MM")</f>
        <v>09-07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B1" workbookViewId="0">
      <selection activeCell="C2" sqref="C2"/>
    </sheetView>
  </sheetViews>
  <sheetFormatPr defaultRowHeight="13.2" x14ac:dyDescent="0.25"/>
  <cols>
    <col min="1" max="1" width="8.88671875" style="13"/>
    <col min="2" max="2" width="10.33203125" style="12" bestFit="1" customWidth="1"/>
    <col min="3" max="3" width="10.33203125" bestFit="1" customWidth="1"/>
  </cols>
  <sheetData>
    <row r="1" spans="1:3" x14ac:dyDescent="0.25">
      <c r="A1" s="13" t="s">
        <v>117</v>
      </c>
    </row>
    <row r="2" spans="1:3" x14ac:dyDescent="0.25">
      <c r="A2" s="13" t="s">
        <v>131</v>
      </c>
      <c r="B2" s="12">
        <f>Instructions!F14</f>
        <v>0</v>
      </c>
      <c r="C2" s="12" t="str">
        <f>TEXT(B2,"dd-mm")</f>
        <v>00-01</v>
      </c>
    </row>
    <row r="3" spans="1:3" x14ac:dyDescent="0.25">
      <c r="A3" s="13" t="s">
        <v>132</v>
      </c>
      <c r="B3" s="12">
        <f t="shared" ref="B3:B32" si="0">DATEVALUE(A3)</f>
        <v>46068</v>
      </c>
      <c r="C3" s="12" t="str">
        <f t="shared" ref="C3:C32" si="1">TEXT(B3,"dd-mm")</f>
        <v>15-02</v>
      </c>
    </row>
    <row r="4" spans="1:3" x14ac:dyDescent="0.25">
      <c r="A4" s="13" t="s">
        <v>133</v>
      </c>
      <c r="B4" s="12">
        <f t="shared" si="0"/>
        <v>46084</v>
      </c>
      <c r="C4" s="12" t="str">
        <f t="shared" si="1"/>
        <v>03-03</v>
      </c>
    </row>
    <row r="5" spans="1:3" x14ac:dyDescent="0.25">
      <c r="A5" s="13" t="s">
        <v>134</v>
      </c>
      <c r="B5" s="12">
        <f t="shared" si="0"/>
        <v>46123</v>
      </c>
      <c r="C5" s="12" t="str">
        <f t="shared" si="1"/>
        <v>11-04</v>
      </c>
    </row>
    <row r="6" spans="1:3" x14ac:dyDescent="0.25">
      <c r="A6" s="13" t="s">
        <v>135</v>
      </c>
      <c r="B6" s="12">
        <f t="shared" si="0"/>
        <v>46164</v>
      </c>
      <c r="C6" s="12" t="str">
        <f t="shared" si="1"/>
        <v>22-05</v>
      </c>
    </row>
    <row r="7" spans="1:3" x14ac:dyDescent="0.25">
      <c r="A7" s="13" t="s">
        <v>136</v>
      </c>
      <c r="B7" s="12">
        <f t="shared" si="0"/>
        <v>46180</v>
      </c>
      <c r="C7" s="12" t="str">
        <f t="shared" si="1"/>
        <v>07-06</v>
      </c>
    </row>
    <row r="8" spans="1:3" x14ac:dyDescent="0.25">
      <c r="A8" s="13" t="s">
        <v>137</v>
      </c>
      <c r="B8" s="12">
        <f t="shared" si="0"/>
        <v>46222</v>
      </c>
      <c r="C8" s="12" t="str">
        <f t="shared" si="1"/>
        <v>19-07</v>
      </c>
    </row>
    <row r="9" spans="1:3" x14ac:dyDescent="0.25">
      <c r="A9" s="13" t="s">
        <v>138</v>
      </c>
      <c r="B9" s="12">
        <f t="shared" si="0"/>
        <v>46257</v>
      </c>
      <c r="C9" s="12" t="str">
        <f t="shared" si="1"/>
        <v>23-08</v>
      </c>
    </row>
    <row r="10" spans="1:3" x14ac:dyDescent="0.25">
      <c r="A10" s="13" t="s">
        <v>139</v>
      </c>
      <c r="B10" s="12">
        <f t="shared" si="0"/>
        <v>46270</v>
      </c>
      <c r="C10" s="12" t="str">
        <f t="shared" si="1"/>
        <v>05-09</v>
      </c>
    </row>
    <row r="11" spans="1:3" x14ac:dyDescent="0.25">
      <c r="A11" s="13" t="s">
        <v>140</v>
      </c>
      <c r="B11" s="12">
        <f t="shared" si="0"/>
        <v>46309</v>
      </c>
      <c r="C11" s="12" t="str">
        <f t="shared" si="1"/>
        <v>14-10</v>
      </c>
    </row>
    <row r="12" spans="1:3" x14ac:dyDescent="0.25">
      <c r="A12" s="13" t="s">
        <v>141</v>
      </c>
      <c r="B12" s="12">
        <f t="shared" si="0"/>
        <v>46190</v>
      </c>
      <c r="C12" s="12" t="str">
        <f t="shared" si="1"/>
        <v>17-06</v>
      </c>
    </row>
    <row r="13" spans="1:3" x14ac:dyDescent="0.25">
      <c r="A13" s="13" t="s">
        <v>142</v>
      </c>
      <c r="B13" s="12">
        <f t="shared" si="0"/>
        <v>46351</v>
      </c>
      <c r="C13" s="12" t="str">
        <f t="shared" si="1"/>
        <v>25-11</v>
      </c>
    </row>
    <row r="14" spans="1:3" x14ac:dyDescent="0.25">
      <c r="A14" s="13" t="s">
        <v>143</v>
      </c>
      <c r="B14" s="12">
        <f t="shared" si="0"/>
        <v>46364</v>
      </c>
      <c r="C14" s="12" t="str">
        <f t="shared" si="1"/>
        <v>08-12</v>
      </c>
    </row>
    <row r="15" spans="1:3" x14ac:dyDescent="0.25">
      <c r="A15" s="13" t="s">
        <v>144</v>
      </c>
      <c r="B15" s="12">
        <f t="shared" si="0"/>
        <v>46071</v>
      </c>
      <c r="C15" s="12" t="str">
        <f t="shared" si="1"/>
        <v>18-02</v>
      </c>
    </row>
    <row r="16" spans="1:3" x14ac:dyDescent="0.25">
      <c r="A16" s="13" t="s">
        <v>145</v>
      </c>
      <c r="B16" s="12">
        <f t="shared" si="0"/>
        <v>46128</v>
      </c>
      <c r="C16" s="12" t="str">
        <f t="shared" si="1"/>
        <v>16-04</v>
      </c>
    </row>
    <row r="17" spans="1:3" x14ac:dyDescent="0.25">
      <c r="A17" s="13" t="s">
        <v>146</v>
      </c>
      <c r="B17" s="12">
        <f t="shared" si="0"/>
        <v>46255</v>
      </c>
      <c r="C17" s="12" t="str">
        <f t="shared" si="1"/>
        <v>21-08</v>
      </c>
    </row>
    <row r="18" spans="1:3" x14ac:dyDescent="0.25">
      <c r="A18" s="13" t="s">
        <v>147</v>
      </c>
      <c r="B18" s="12">
        <f t="shared" si="0"/>
        <v>46254</v>
      </c>
      <c r="C18" s="12" t="str">
        <f t="shared" si="1"/>
        <v>20-08</v>
      </c>
    </row>
    <row r="19" spans="1:3" x14ac:dyDescent="0.25">
      <c r="A19" s="13" t="s">
        <v>148</v>
      </c>
      <c r="B19" s="12">
        <f t="shared" si="0"/>
        <v>46049</v>
      </c>
      <c r="C19" s="12" t="str">
        <f t="shared" si="1"/>
        <v>27-01</v>
      </c>
    </row>
    <row r="20" spans="1:3" x14ac:dyDescent="0.25">
      <c r="A20" s="13" t="s">
        <v>149</v>
      </c>
      <c r="B20" s="12">
        <f t="shared" si="0"/>
        <v>46082</v>
      </c>
      <c r="C20" s="12" t="str">
        <f t="shared" si="1"/>
        <v>01-03</v>
      </c>
    </row>
    <row r="21" spans="1:3" x14ac:dyDescent="0.25">
      <c r="A21" s="13" t="s">
        <v>150</v>
      </c>
      <c r="B21" s="12">
        <f t="shared" si="0"/>
        <v>46248</v>
      </c>
      <c r="C21" s="12" t="str">
        <f t="shared" si="1"/>
        <v>14-08</v>
      </c>
    </row>
    <row r="22" spans="1:3" x14ac:dyDescent="0.25">
      <c r="A22" s="13" t="s">
        <v>151</v>
      </c>
      <c r="B22" s="12">
        <f t="shared" si="0"/>
        <v>46156</v>
      </c>
      <c r="C22" s="12" t="str">
        <f t="shared" si="1"/>
        <v>14-05</v>
      </c>
    </row>
    <row r="23" spans="1:3" x14ac:dyDescent="0.25">
      <c r="A23" s="13" t="s">
        <v>152</v>
      </c>
      <c r="B23" s="12">
        <f t="shared" si="0"/>
        <v>46031</v>
      </c>
      <c r="C23" s="12" t="str">
        <f t="shared" si="1"/>
        <v>09-01</v>
      </c>
    </row>
    <row r="24" spans="1:3" x14ac:dyDescent="0.25">
      <c r="A24" s="13" t="s">
        <v>137</v>
      </c>
      <c r="B24" s="12">
        <f t="shared" si="0"/>
        <v>46222</v>
      </c>
      <c r="C24" s="12" t="str">
        <f t="shared" si="1"/>
        <v>19-07</v>
      </c>
    </row>
    <row r="25" spans="1:3" x14ac:dyDescent="0.25">
      <c r="A25" s="13" t="s">
        <v>153</v>
      </c>
      <c r="B25" s="12">
        <f t="shared" si="0"/>
        <v>46294</v>
      </c>
      <c r="C25" s="12" t="str">
        <f t="shared" si="1"/>
        <v>29-09</v>
      </c>
    </row>
    <row r="26" spans="1:3" x14ac:dyDescent="0.25">
      <c r="A26" s="13" t="s">
        <v>154</v>
      </c>
      <c r="B26" s="12">
        <f t="shared" si="0"/>
        <v>46176</v>
      </c>
      <c r="C26" s="12" t="str">
        <f t="shared" si="1"/>
        <v>03-06</v>
      </c>
    </row>
    <row r="27" spans="1:3" x14ac:dyDescent="0.25">
      <c r="A27" s="13" t="s">
        <v>155</v>
      </c>
      <c r="B27" s="12">
        <f t="shared" si="0"/>
        <v>46214</v>
      </c>
      <c r="C27" s="12" t="str">
        <f t="shared" si="1"/>
        <v>11-07</v>
      </c>
    </row>
    <row r="28" spans="1:3" x14ac:dyDescent="0.25">
      <c r="A28" s="13" t="s">
        <v>156</v>
      </c>
      <c r="B28" s="12">
        <f t="shared" si="0"/>
        <v>46088</v>
      </c>
      <c r="C28" s="12" t="str">
        <f t="shared" si="1"/>
        <v>07-03</v>
      </c>
    </row>
    <row r="29" spans="1:3" x14ac:dyDescent="0.25">
      <c r="A29" s="13" t="s">
        <v>157</v>
      </c>
      <c r="B29" s="12">
        <f t="shared" si="0"/>
        <v>46125</v>
      </c>
      <c r="C29" s="12" t="str">
        <f t="shared" si="1"/>
        <v>13-04</v>
      </c>
    </row>
    <row r="30" spans="1:3" x14ac:dyDescent="0.25">
      <c r="A30" s="13" t="s">
        <v>158</v>
      </c>
      <c r="B30" s="12">
        <f t="shared" si="0"/>
        <v>46166</v>
      </c>
      <c r="C30" s="12" t="str">
        <f t="shared" si="1"/>
        <v>24-05</v>
      </c>
    </row>
    <row r="31" spans="1:3" x14ac:dyDescent="0.25">
      <c r="A31" s="13" t="s">
        <v>159</v>
      </c>
      <c r="B31" s="12">
        <f t="shared" si="0"/>
        <v>46358</v>
      </c>
      <c r="C31" s="12" t="str">
        <f t="shared" si="1"/>
        <v>02-12</v>
      </c>
    </row>
    <row r="32" spans="1:3" x14ac:dyDescent="0.25">
      <c r="A32" s="13" t="s">
        <v>160</v>
      </c>
      <c r="B32" s="12">
        <f t="shared" si="0"/>
        <v>46212</v>
      </c>
      <c r="C32" s="12" t="str">
        <f t="shared" si="1"/>
        <v>09-07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K23" sqref="K23"/>
    </sheetView>
  </sheetViews>
  <sheetFormatPr defaultRowHeight="13.2" x14ac:dyDescent="0.25"/>
  <cols>
    <col min="1" max="1" width="21.44140625" bestFit="1" customWidth="1"/>
    <col min="2" max="2" width="12" style="18" bestFit="1" customWidth="1"/>
    <col min="3" max="3" width="12" customWidth="1"/>
    <col min="4" max="4" width="13.109375" customWidth="1"/>
    <col min="5" max="5" width="24.33203125" style="16" customWidth="1"/>
    <col min="6" max="6" width="17.77734375" customWidth="1"/>
    <col min="7" max="7" width="15.44140625" bestFit="1" customWidth="1"/>
  </cols>
  <sheetData>
    <row r="1" spans="1:6" s="15" customFormat="1" x14ac:dyDescent="0.25">
      <c r="A1" s="15" t="s">
        <v>130</v>
      </c>
      <c r="B1" s="17" t="s">
        <v>162</v>
      </c>
      <c r="C1" s="15" t="s">
        <v>228</v>
      </c>
      <c r="D1" s="15" t="s">
        <v>227</v>
      </c>
      <c r="E1" s="16" t="s">
        <v>117</v>
      </c>
      <c r="F1" s="15" t="s">
        <v>116</v>
      </c>
    </row>
    <row r="2" spans="1:6" x14ac:dyDescent="0.25">
      <c r="A2" t="s">
        <v>166</v>
      </c>
      <c r="B2" s="18">
        <v>1000</v>
      </c>
      <c r="C2">
        <v>30</v>
      </c>
      <c r="D2" t="s">
        <v>28</v>
      </c>
      <c r="E2" s="16" t="s">
        <v>197</v>
      </c>
      <c r="F2" t="s">
        <v>118</v>
      </c>
    </row>
    <row r="3" spans="1:6" x14ac:dyDescent="0.25">
      <c r="A3" t="s">
        <v>167</v>
      </c>
      <c r="B3" s="18">
        <v>80</v>
      </c>
      <c r="C3">
        <v>15</v>
      </c>
      <c r="D3" t="s">
        <v>32</v>
      </c>
      <c r="E3" s="16" t="s">
        <v>198</v>
      </c>
      <c r="F3" t="s">
        <v>118</v>
      </c>
    </row>
    <row r="4" spans="1:6" x14ac:dyDescent="0.25">
      <c r="A4" t="s">
        <v>168</v>
      </c>
      <c r="B4" s="18">
        <v>130</v>
      </c>
      <c r="C4">
        <v>40</v>
      </c>
      <c r="D4" t="s">
        <v>36</v>
      </c>
      <c r="E4" s="16" t="s">
        <v>199</v>
      </c>
      <c r="F4" t="s">
        <v>118</v>
      </c>
    </row>
    <row r="5" spans="1:6" x14ac:dyDescent="0.25">
      <c r="A5" t="s">
        <v>169</v>
      </c>
      <c r="B5" s="18">
        <v>900</v>
      </c>
      <c r="C5">
        <v>25</v>
      </c>
      <c r="D5" t="s">
        <v>28</v>
      </c>
      <c r="E5" s="16" t="s">
        <v>200</v>
      </c>
      <c r="F5" t="s">
        <v>118</v>
      </c>
    </row>
    <row r="6" spans="1:6" x14ac:dyDescent="0.25">
      <c r="A6" t="s">
        <v>170</v>
      </c>
      <c r="B6" s="18">
        <v>70</v>
      </c>
      <c r="C6">
        <v>20</v>
      </c>
      <c r="D6" t="s">
        <v>32</v>
      </c>
      <c r="E6" s="16" t="s">
        <v>201</v>
      </c>
      <c r="F6" t="s">
        <v>118</v>
      </c>
    </row>
    <row r="7" spans="1:6" x14ac:dyDescent="0.25">
      <c r="A7" t="s">
        <v>171</v>
      </c>
      <c r="B7" s="18">
        <v>297.85714285714283</v>
      </c>
      <c r="C7">
        <v>45</v>
      </c>
      <c r="D7" t="s">
        <v>28</v>
      </c>
      <c r="E7" s="16" t="s">
        <v>202</v>
      </c>
      <c r="F7" t="s">
        <v>119</v>
      </c>
    </row>
    <row r="8" spans="1:6" x14ac:dyDescent="0.25">
      <c r="A8" t="s">
        <v>172</v>
      </c>
      <c r="B8" s="18">
        <v>30</v>
      </c>
      <c r="C8">
        <v>5</v>
      </c>
      <c r="D8" t="s">
        <v>32</v>
      </c>
      <c r="E8" s="16" t="s">
        <v>203</v>
      </c>
      <c r="F8" t="s">
        <v>119</v>
      </c>
    </row>
    <row r="9" spans="1:6" x14ac:dyDescent="0.25">
      <c r="A9" t="s">
        <v>173</v>
      </c>
      <c r="B9" s="18">
        <v>90</v>
      </c>
      <c r="C9">
        <v>35</v>
      </c>
      <c r="D9" t="s">
        <v>36</v>
      </c>
      <c r="E9" s="16" t="s">
        <v>204</v>
      </c>
      <c r="F9" t="s">
        <v>119</v>
      </c>
    </row>
    <row r="10" spans="1:6" x14ac:dyDescent="0.25">
      <c r="A10" t="s">
        <v>174</v>
      </c>
      <c r="B10" s="18">
        <v>500</v>
      </c>
      <c r="C10">
        <v>50</v>
      </c>
      <c r="D10" t="s">
        <v>28</v>
      </c>
      <c r="E10" s="16" t="s">
        <v>205</v>
      </c>
      <c r="F10" t="s">
        <v>119</v>
      </c>
    </row>
    <row r="11" spans="1:6" x14ac:dyDescent="0.25">
      <c r="A11" t="s">
        <v>175</v>
      </c>
      <c r="B11" s="18">
        <v>130</v>
      </c>
      <c r="C11">
        <v>10</v>
      </c>
      <c r="D11" t="s">
        <v>59</v>
      </c>
      <c r="E11" s="16" t="s">
        <v>206</v>
      </c>
      <c r="F11" t="s">
        <v>119</v>
      </c>
    </row>
    <row r="12" spans="1:6" x14ac:dyDescent="0.25">
      <c r="A12" t="s">
        <v>176</v>
      </c>
      <c r="B12" s="18">
        <v>950</v>
      </c>
      <c r="C12">
        <v>25</v>
      </c>
      <c r="D12" t="s">
        <v>28</v>
      </c>
      <c r="E12" s="16" t="s">
        <v>207</v>
      </c>
      <c r="F12" t="s">
        <v>120</v>
      </c>
    </row>
    <row r="13" spans="1:6" x14ac:dyDescent="0.25">
      <c r="A13" t="s">
        <v>177</v>
      </c>
      <c r="B13" s="18">
        <v>90</v>
      </c>
      <c r="C13">
        <v>40</v>
      </c>
      <c r="D13" t="s">
        <v>32</v>
      </c>
      <c r="E13" s="16" t="s">
        <v>208</v>
      </c>
      <c r="F13" t="s">
        <v>121</v>
      </c>
    </row>
    <row r="14" spans="1:6" x14ac:dyDescent="0.25">
      <c r="A14" t="s">
        <v>178</v>
      </c>
      <c r="B14" s="18">
        <v>120</v>
      </c>
      <c r="C14">
        <v>35</v>
      </c>
      <c r="D14" t="s">
        <v>28</v>
      </c>
      <c r="E14" s="16" t="s">
        <v>209</v>
      </c>
      <c r="F14" t="s">
        <v>122</v>
      </c>
    </row>
    <row r="15" spans="1:6" x14ac:dyDescent="0.25">
      <c r="A15" t="s">
        <v>179</v>
      </c>
      <c r="B15" s="18">
        <v>150</v>
      </c>
      <c r="C15">
        <v>15</v>
      </c>
      <c r="D15" t="s">
        <v>28</v>
      </c>
      <c r="E15" s="16" t="s">
        <v>210</v>
      </c>
      <c r="F15" t="s">
        <v>123</v>
      </c>
    </row>
    <row r="16" spans="1:6" x14ac:dyDescent="0.25">
      <c r="A16" t="s">
        <v>180</v>
      </c>
      <c r="B16" s="18">
        <v>250</v>
      </c>
      <c r="C16">
        <v>20</v>
      </c>
      <c r="D16" t="s">
        <v>28</v>
      </c>
      <c r="E16" s="16" t="s">
        <v>211</v>
      </c>
      <c r="F16" t="s">
        <v>124</v>
      </c>
    </row>
    <row r="17" spans="1:6" x14ac:dyDescent="0.25">
      <c r="A17" t="s">
        <v>181</v>
      </c>
      <c r="B17" s="18">
        <v>50</v>
      </c>
      <c r="C17">
        <v>35</v>
      </c>
      <c r="D17" t="s">
        <v>75</v>
      </c>
      <c r="E17" s="16" t="s">
        <v>212</v>
      </c>
      <c r="F17" t="s">
        <v>123</v>
      </c>
    </row>
    <row r="18" spans="1:6" x14ac:dyDescent="0.25">
      <c r="A18" t="s">
        <v>182</v>
      </c>
      <c r="B18" s="18">
        <v>160</v>
      </c>
      <c r="C18">
        <v>15</v>
      </c>
      <c r="D18" t="s">
        <v>28</v>
      </c>
      <c r="E18" s="16" t="s">
        <v>213</v>
      </c>
      <c r="F18" t="s">
        <v>125</v>
      </c>
    </row>
    <row r="19" spans="1:6" x14ac:dyDescent="0.25">
      <c r="A19" t="s">
        <v>183</v>
      </c>
      <c r="B19" s="18">
        <v>980</v>
      </c>
      <c r="C19">
        <v>10</v>
      </c>
      <c r="D19" t="s">
        <v>28</v>
      </c>
      <c r="E19" s="16" t="s">
        <v>214</v>
      </c>
      <c r="F19" t="s">
        <v>126</v>
      </c>
    </row>
    <row r="20" spans="1:6" x14ac:dyDescent="0.25">
      <c r="A20" t="s">
        <v>184</v>
      </c>
      <c r="B20" s="18">
        <v>150</v>
      </c>
      <c r="C20">
        <v>15</v>
      </c>
      <c r="D20" t="s">
        <v>32</v>
      </c>
      <c r="E20" s="16" t="s">
        <v>215</v>
      </c>
      <c r="F20" t="s">
        <v>119</v>
      </c>
    </row>
    <row r="21" spans="1:6" x14ac:dyDescent="0.25">
      <c r="A21" t="s">
        <v>185</v>
      </c>
      <c r="B21" s="18">
        <v>297.85714285714283</v>
      </c>
      <c r="C21">
        <v>10</v>
      </c>
      <c r="D21" t="s">
        <v>59</v>
      </c>
      <c r="E21" s="16" t="s">
        <v>216</v>
      </c>
      <c r="F21" t="s">
        <v>118</v>
      </c>
    </row>
    <row r="22" spans="1:6" x14ac:dyDescent="0.25">
      <c r="A22" t="s">
        <v>186</v>
      </c>
      <c r="B22" s="18">
        <v>700</v>
      </c>
      <c r="C22">
        <v>50</v>
      </c>
      <c r="D22" t="s">
        <v>28</v>
      </c>
      <c r="E22" s="16" t="s">
        <v>217</v>
      </c>
      <c r="F22" t="s">
        <v>127</v>
      </c>
    </row>
    <row r="23" spans="1:6" x14ac:dyDescent="0.25">
      <c r="A23" t="s">
        <v>187</v>
      </c>
      <c r="B23" s="18">
        <v>80</v>
      </c>
      <c r="C23">
        <v>20</v>
      </c>
      <c r="D23" t="s">
        <v>36</v>
      </c>
      <c r="E23" s="16" t="s">
        <v>218</v>
      </c>
      <c r="F23" t="s">
        <v>123</v>
      </c>
    </row>
    <row r="24" spans="1:6" x14ac:dyDescent="0.25">
      <c r="A24" t="s">
        <v>188</v>
      </c>
      <c r="B24" s="18">
        <v>150</v>
      </c>
      <c r="C24">
        <v>30</v>
      </c>
      <c r="D24" t="s">
        <v>28</v>
      </c>
      <c r="E24" s="16" t="s">
        <v>203</v>
      </c>
      <c r="F24" t="s">
        <v>128</v>
      </c>
    </row>
    <row r="25" spans="1:6" x14ac:dyDescent="0.25">
      <c r="A25" t="s">
        <v>189</v>
      </c>
      <c r="B25" s="18">
        <v>800</v>
      </c>
      <c r="C25">
        <v>45</v>
      </c>
      <c r="D25" t="s">
        <v>28</v>
      </c>
      <c r="E25" s="16" t="s">
        <v>219</v>
      </c>
      <c r="F25" t="s">
        <v>123</v>
      </c>
    </row>
    <row r="26" spans="1:6" x14ac:dyDescent="0.25">
      <c r="A26" t="s">
        <v>190</v>
      </c>
      <c r="B26" s="18">
        <v>297.85714285714283</v>
      </c>
      <c r="C26">
        <v>25</v>
      </c>
      <c r="D26" t="s">
        <v>32</v>
      </c>
      <c r="E26" s="16" t="s">
        <v>220</v>
      </c>
      <c r="F26" t="s">
        <v>123</v>
      </c>
    </row>
    <row r="27" spans="1:6" x14ac:dyDescent="0.25">
      <c r="A27" t="s">
        <v>191</v>
      </c>
      <c r="B27" s="18">
        <v>400</v>
      </c>
      <c r="C27">
        <v>40</v>
      </c>
      <c r="D27" t="s">
        <v>36</v>
      </c>
      <c r="E27" s="16" t="s">
        <v>221</v>
      </c>
      <c r="F27" t="s">
        <v>123</v>
      </c>
    </row>
    <row r="28" spans="1:6" x14ac:dyDescent="0.25">
      <c r="A28" t="s">
        <v>192</v>
      </c>
      <c r="B28" s="18">
        <v>60</v>
      </c>
      <c r="C28">
        <v>30</v>
      </c>
      <c r="D28" t="s">
        <v>32</v>
      </c>
      <c r="E28" s="16" t="s">
        <v>222</v>
      </c>
      <c r="F28" t="s">
        <v>123</v>
      </c>
    </row>
    <row r="29" spans="1:6" x14ac:dyDescent="0.25">
      <c r="A29" t="s">
        <v>193</v>
      </c>
      <c r="B29" s="18">
        <v>40</v>
      </c>
      <c r="C29">
        <v>10</v>
      </c>
      <c r="D29" t="s">
        <v>36</v>
      </c>
      <c r="E29" s="16" t="s">
        <v>223</v>
      </c>
      <c r="F29" t="s">
        <v>123</v>
      </c>
    </row>
    <row r="30" spans="1:6" x14ac:dyDescent="0.25">
      <c r="A30" t="s">
        <v>194</v>
      </c>
      <c r="B30" s="18">
        <v>130</v>
      </c>
      <c r="C30">
        <v>5</v>
      </c>
      <c r="D30" t="s">
        <v>28</v>
      </c>
      <c r="E30" s="16" t="s">
        <v>224</v>
      </c>
      <c r="F30" t="s">
        <v>123</v>
      </c>
    </row>
    <row r="31" spans="1:6" x14ac:dyDescent="0.25">
      <c r="A31" t="s">
        <v>195</v>
      </c>
      <c r="B31" s="18">
        <v>50</v>
      </c>
      <c r="C31">
        <v>50</v>
      </c>
      <c r="D31" t="s">
        <v>32</v>
      </c>
      <c r="E31" s="16" t="s">
        <v>225</v>
      </c>
      <c r="F31" t="s">
        <v>123</v>
      </c>
    </row>
    <row r="32" spans="1:6" x14ac:dyDescent="0.25">
      <c r="A32" t="s">
        <v>196</v>
      </c>
      <c r="B32" s="18">
        <v>100</v>
      </c>
      <c r="C32">
        <v>20</v>
      </c>
      <c r="D32" t="s">
        <v>75</v>
      </c>
      <c r="E32" s="16" t="s">
        <v>226</v>
      </c>
      <c r="F32" t="s">
        <v>129</v>
      </c>
    </row>
  </sheetData>
  <conditionalFormatting sqref="B2:B32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{4AE33FEA-040E-4E87-ADAE-8DF9BAE6C417}</x14:id>
        </ext>
      </extLst>
    </cfRule>
  </conditionalFormatting>
  <conditionalFormatting sqref="D1:D1048576">
    <cfRule type="cellIs" priority="6" operator="equal">
      <formula>"Electronics"</formula>
    </cfRule>
    <cfRule type="expression" priority="5">
      <formula>"Electronics"</formula>
    </cfRule>
    <cfRule type="containsText" dxfId="4" priority="3" operator="containsText" text="Electronics">
      <formula>NOT(ISERROR(SEARCH("Electronics",D1)))</formula>
    </cfRule>
  </conditionalFormatting>
  <conditionalFormatting sqref="D2">
    <cfRule type="containsText" dxfId="3" priority="4" operator="containsText" text="Electronics">
      <formula>NOT(ISERROR(SEARCH("Electronics",D2)))</formula>
    </cfRule>
  </conditionalFormatting>
  <conditionalFormatting sqref="B1:B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{CDCC9854-731F-4054-97F3-03F77D67EBB4}</x14:id>
        </ext>
      </extLst>
    </cfRule>
  </conditionalFormatting>
  <conditionalFormatting sqref="B1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E33FEA-040E-4E87-ADAE-8DF9BAE6C4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B2:B32</xm:sqref>
        </x14:conditionalFormatting>
        <x14:conditionalFormatting xmlns:xm="http://schemas.microsoft.com/office/excel/2006/main">
          <x14:cfRule type="dataBar" id="{CDCC9854-731F-4054-97F3-03F77D67EB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1E5968-977C-468F-AB11-7E9EFD3D5B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Dataset</vt:lpstr>
      <vt:lpstr>Sheet1</vt:lpstr>
      <vt:lpstr>Sheet2</vt:lpstr>
      <vt:lpstr>CLEANED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L-G</cp:lastModifiedBy>
  <dcterms:modified xsi:type="dcterms:W3CDTF">2026-04-19T13:06:25Z</dcterms:modified>
</cp:coreProperties>
</file>