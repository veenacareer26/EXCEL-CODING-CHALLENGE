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-G\Downloads\"/>
    </mc:Choice>
  </mc:AlternateContent>
  <bookViews>
    <workbookView xWindow="0" yWindow="0" windowWidth="17256" windowHeight="5112" activeTab="2"/>
  </bookViews>
  <sheets>
    <sheet name="Instructions" sheetId="1" r:id="rId1"/>
    <sheet name="Dataset" sheetId="2" r:id="rId2"/>
    <sheet name="Data Exploration" sheetId="3" r:id="rId3"/>
  </sheets>
  <definedNames>
    <definedName name="_xlnm._FilterDatabase" localSheetId="1" hidden="1">Dataset!$A$1:$F$35</definedName>
  </definedName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4" i="3" l="1"/>
  <c r="L5" i="3" l="1"/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L10" i="3"/>
  <c r="L9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L6" i="3"/>
  <c r="L8" i="3"/>
  <c r="L7" i="3"/>
</calcChain>
</file>

<file path=xl/sharedStrings.xml><?xml version="1.0" encoding="utf-8"?>
<sst xmlns="http://schemas.openxmlformats.org/spreadsheetml/2006/main" count="304" uniqueCount="121">
  <si>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</si>
  <si>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</si>
  <si>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</si>
  <si>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</si>
  <si>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</si>
  <si>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</si>
  <si>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</si>
  <si>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</si>
  <si>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</si>
  <si>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</si>
  <si>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</si>
  <si>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</si>
  <si>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</si>
  <si>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</si>
  <si>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</si>
  <si>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</si>
  <si>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</si>
  <si>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</si>
  <si>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</si>
  <si>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</si>
  <si>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</si>
  <si>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</si>
  <si>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</si>
  <si>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</si>
  <si>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</si>
  <si>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</si>
  <si>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</si>
  <si>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</si>
  <si>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</si>
  <si>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</si>
  <si>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</si>
  <si>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</si>
  <si>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</si>
  <si>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</si>
  <si>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</si>
  <si>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</si>
  <si>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</si>
  <si>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</si>
  <si>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</si>
  <si>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</si>
  <si>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</si>
  <si>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</si>
  <si>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</si>
  <si>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</si>
  <si>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</si>
  <si>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</si>
  <si>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</si>
  <si>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</si>
  <si>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</si>
  <si>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</si>
  <si>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</si>
  <si>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</si>
  <si>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</si>
  <si>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</si>
  <si>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</si>
  <si>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</si>
  <si>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</si>
  <si>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</si>
  <si>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</si>
  <si>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</si>
  <si>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</si>
  <si>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</si>
  <si>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</si>
  <si>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</si>
  <si>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</si>
  <si>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</si>
  <si>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</si>
  <si>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</si>
  <si>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</si>
  <si>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</si>
  <si>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</si>
  <si>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</si>
  <si>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</si>
  <si>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</si>
  <si>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</si>
  <si>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</si>
  <si>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</si>
  <si>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</si>
  <si>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</si>
  <si>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</si>
  <si>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</si>
  <si>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</si>
  <si>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</si>
  <si>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</si>
  <si>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</si>
  <si>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</si>
  <si>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</si>
  <si>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</si>
  <si>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</si>
  <si>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</si>
  <si>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</si>
  <si>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</si>
  <si>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</si>
  <si>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</si>
  <si>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</si>
  <si>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</si>
  <si>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</si>
  <si>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</si>
  <si>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</si>
  <si>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</si>
  <si>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</si>
  <si>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</si>
  <si>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</si>
  <si>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</si>
  <si>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</si>
  <si>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</si>
  <si>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</si>
  <si>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</si>
  <si>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</si>
  <si>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</si>
  <si>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</si>
  <si>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AVERAGE PRICE</t>
  </si>
  <si>
    <t>MIN</t>
  </si>
  <si>
    <t>MAX</t>
  </si>
  <si>
    <t>PRICE COLUMN</t>
  </si>
  <si>
    <t>SUMIF</t>
  </si>
  <si>
    <t>COUNTIF</t>
  </si>
  <si>
    <t>DAY</t>
  </si>
  <si>
    <t>COUNTRY CODE</t>
  </si>
  <si>
    <t>MONTH</t>
  </si>
  <si>
    <t>COUNT WITH REPEATED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</si>
</sst>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rgb="FFE0F7FA"/>
      </patternFill>
    </fill>
    <fill>
      <patternFill patternType="solid">
        <fgColor theme="6" tint="-0.249977111117893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6" fillId="5" borderId="0" xfId="0" applyFont="1" applyFill="1"/>
    <xf numFmtId="0" fontId="6" fillId="5" borderId="0" xfId="0" applyFont="1" applyFill="1" applyAlignment="1"/>
    <xf numFmtId="0" fontId="5" fillId="6" borderId="0" xfId="0" applyFont="1" applyFill="1" applyAlignment="1">
      <alignment horizontal="center"/>
    </xf>
    <xf numFmtId="0" fontId="6" fillId="5" borderId="0" xfId="0" applyFont="1" applyFill="1" applyAlignment="1">
      <alignment horizontal="right"/>
    </xf>
    <xf numFmtId="0" fontId="0" fillId="0" borderId="0" xfId="0" applyFont="1" applyAlignment="1">
      <alignment horizontal="right"/>
    </xf>
    <xf numFmtId="0" fontId="6" fillId="5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7" fillId="0" borderId="1" xfId="0" applyFont="1" applyBorder="1" applyAlignment="1"/>
    <xf numFmtId="0" fontId="0" fillId="0" borderId="0" xfId="0" applyFont="1" applyFill="1" applyAlignment="1"/>
    <xf numFmtId="0" fontId="7" fillId="0" borderId="0" xfId="0" applyFont="1" applyFill="1" applyBorder="1" applyAlignment="1"/>
    <xf numFmtId="0" fontId="0" fillId="0" borderId="0" xfId="0" applyFont="1" applyBorder="1" applyAlignment="1"/>
    <xf numFmtId="0" fontId="7" fillId="0" borderId="0" xfId="0" applyFont="1" applyBorder="1" applyAlignment="1"/>
    <xf numFmtId="0" fontId="6" fillId="0" borderId="0" xfId="0" applyFont="1" applyFill="1" applyBorder="1"/>
    <xf numFmtId="0" fontId="0" fillId="0" borderId="0" xfId="0" applyFont="1" applyFill="1" applyBorder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6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3" totalsRowShown="0" headerRowDxfId="11" dataDxfId="10">
  <autoFilter ref="A1:J33"/>
  <tableColumns count="10">
    <tableColumn id="1" name="Product ID" dataDxfId="9"/>
    <tableColumn id="2" name="Product Name" dataDxfId="8"/>
    <tableColumn id="3" name="Brand Name" dataDxfId="7"/>
    <tableColumn id="4" name="Price ($)" dataDxfId="6"/>
    <tableColumn id="5" name="Quantity" dataDxfId="5"/>
    <tableColumn id="6" name="Category" dataDxfId="4"/>
    <tableColumn id="7" name="PRICE COLUMN" dataDxfId="3">
      <calculatedColumnFormula>IF(Table1[Price ($)]&gt;=500,"High Price","Standard Price")</calculatedColumnFormula>
    </tableColumn>
    <tableColumn id="8" name="DAY" dataDxfId="2">
      <calculatedColumnFormula>LEFT(Table1[Product ID],2)</calculatedColumnFormula>
    </tableColumn>
    <tableColumn id="9" name="COUNTRY CODE" dataDxfId="1">
      <calculatedColumnFormula>RIGHT(Table1[Product ID],2)</calculatedColumnFormula>
    </tableColumn>
    <tableColumn id="10" name="MONTH" dataDxfId="0">
      <calculatedColumnFormula>MID(Table1[Product ID],4,3)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showGridLines="0" topLeftCell="A10" workbookViewId="0">
      <selection activeCell="F10" sqref="F1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2" ht="15.75" customHeight="1" x14ac:dyDescent="0.25">
      <c r="A1" s="1" t="s">
        <v>0</v>
      </c>
    </row>
    <row r="2" spans="1:12" ht="15.75" customHeight="1" x14ac:dyDescent="0.25"/>
    <row r="3" spans="1:12" ht="15.75" customHeight="1" x14ac:dyDescent="0.3">
      <c r="B3" s="2" t="s">
        <v>1</v>
      </c>
    </row>
    <row r="4" spans="1:12" ht="15.75" customHeight="1" x14ac:dyDescent="0.3">
      <c r="B4" s="2"/>
      <c r="C4" s="3" t="s">
        <v>2</v>
      </c>
    </row>
    <row r="5" spans="1:12" ht="15.75" customHeight="1" x14ac:dyDescent="0.3">
      <c r="B5" s="2"/>
      <c r="C5" s="3" t="s">
        <v>3</v>
      </c>
    </row>
    <row r="6" spans="1:12" ht="15.75" customHeight="1" x14ac:dyDescent="0.3">
      <c r="B6" s="2"/>
      <c r="C6" s="3" t="s">
        <v>4</v>
      </c>
    </row>
    <row r="7" spans="1:12" ht="15.75" customHeight="1" x14ac:dyDescent="0.3">
      <c r="B7" s="4"/>
    </row>
    <row r="8" spans="1:12" ht="15.75" customHeight="1" x14ac:dyDescent="0.3">
      <c r="B8" s="2" t="s">
        <v>5</v>
      </c>
    </row>
    <row r="9" spans="1:12" ht="15.75" customHeight="1" x14ac:dyDescent="0.3">
      <c r="C9" s="3" t="s">
        <v>6</v>
      </c>
    </row>
    <row r="10" spans="1:12" ht="15.75" customHeight="1" x14ac:dyDescent="0.3">
      <c r="C10" s="3" t="s">
        <v>7</v>
      </c>
    </row>
    <row r="11" spans="1:12" ht="15.75" customHeight="1" x14ac:dyDescent="0.3">
      <c r="B11" s="4"/>
    </row>
    <row r="12" spans="1:12" ht="15.75" customHeight="1" x14ac:dyDescent="0.3">
      <c r="B12" s="2" t="s">
        <v>8</v>
      </c>
    </row>
    <row r="13" spans="1:12" ht="15.75" customHeight="1" x14ac:dyDescent="0.3">
      <c r="C13" s="3" t="s">
        <v>9</v>
      </c>
    </row>
    <row r="14" spans="1:12" ht="15.75" customHeight="1" x14ac:dyDescent="0.3">
      <c r="B14" s="4"/>
    </row>
    <row r="15" spans="1:12" ht="15.75" customHeight="1" x14ac:dyDescent="0.3">
      <c r="B15" s="2" t="s">
        <v>10</v>
      </c>
      <c r="L15" s="19"/>
    </row>
    <row r="16" spans="1:12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opLeftCell="A7" workbookViewId="0">
      <selection activeCell="H13" sqref="H13"/>
    </sheetView>
  </sheetViews>
  <sheetFormatPr defaultColWidth="12.6640625" defaultRowHeight="15" customHeight="1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zoomScale="85" zoomScaleNormal="85" workbookViewId="0">
      <selection activeCell="K16" sqref="K16"/>
    </sheetView>
  </sheetViews>
  <sheetFormatPr defaultColWidth="12.6640625" defaultRowHeight="13.2" x14ac:dyDescent="0.25"/>
  <cols>
    <col min="1" max="1" width="15.6640625" bestFit="1" customWidth="1"/>
    <col min="2" max="2" width="19.109375" bestFit="1" customWidth="1"/>
    <col min="3" max="3" width="17.21875" bestFit="1" customWidth="1"/>
    <col min="4" max="5" width="13.6640625" bestFit="1" customWidth="1"/>
    <col min="6" max="6" width="14.33203125" bestFit="1" customWidth="1"/>
    <col min="7" max="7" width="20.33203125" bestFit="1" customWidth="1"/>
    <col min="8" max="8" width="9.88671875" style="15" bestFit="1" customWidth="1"/>
    <col min="9" max="9" width="21" style="17" bestFit="1" customWidth="1"/>
    <col min="10" max="10" width="12.88671875" bestFit="1" customWidth="1"/>
    <col min="11" max="11" width="42.33203125" bestFit="1" customWidth="1"/>
    <col min="12" max="13" width="15.44140625" bestFit="1" customWidth="1"/>
    <col min="14" max="14" width="7.21875" bestFit="1" customWidth="1"/>
  </cols>
  <sheetData>
    <row r="1" spans="1:19" s="17" customFormat="1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3" t="s">
        <v>114</v>
      </c>
      <c r="H1" s="13" t="s">
        <v>117</v>
      </c>
      <c r="I1" s="13" t="s">
        <v>118</v>
      </c>
      <c r="J1" s="13" t="s">
        <v>119</v>
      </c>
    </row>
    <row r="2" spans="1:19" ht="15.75" customHeight="1" x14ac:dyDescent="0.25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11" t="str">
        <f>IF(Table1[Price ($)]&gt;=500,"High Price","Standard Price")</f>
        <v>High Price</v>
      </c>
      <c r="H2" s="14" t="str">
        <f>LEFT(Table1[Product ID],2)</f>
        <v>28</v>
      </c>
      <c r="I2" s="16" t="str">
        <f>RIGHT(Table1[Product ID],2)</f>
        <v>US</v>
      </c>
      <c r="J2" s="11" t="str">
        <f>MID(Table1[Product ID],4,3)</f>
        <v>JAN</v>
      </c>
    </row>
    <row r="3" spans="1:19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11" t="str">
        <f>IF(Table1[Price ($)]&gt;=500,"High Price","Standard Price")</f>
        <v>Standard Price</v>
      </c>
      <c r="H3" s="14" t="str">
        <f>LEFT(Table1[Product ID],2)</f>
        <v>15</v>
      </c>
      <c r="I3" s="16" t="str">
        <f>RIGHT(Table1[Product ID],2)</f>
        <v>US</v>
      </c>
      <c r="J3" s="11" t="str">
        <f>MID(Table1[Product ID],4,3)</f>
        <v>FEB</v>
      </c>
    </row>
    <row r="4" spans="1:19" ht="15.75" customHeight="1" x14ac:dyDescent="0.25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11" t="str">
        <f>IF(Table1[Price ($)]&gt;=500,"High Price","Standard Price")</f>
        <v>Standard Price</v>
      </c>
      <c r="H4" s="14" t="str">
        <f>LEFT(Table1[Product ID],2)</f>
        <v>03</v>
      </c>
      <c r="I4" s="16" t="str">
        <f>RIGHT(Table1[Product ID],2)</f>
        <v>US</v>
      </c>
      <c r="J4" s="11" t="str">
        <f>MID(Table1[Product ID],4,3)</f>
        <v>MAR</v>
      </c>
      <c r="K4" s="18" t="s">
        <v>110</v>
      </c>
      <c r="L4" s="18">
        <f>SUM(Table1[Price ($)])</f>
        <v>9100</v>
      </c>
    </row>
    <row r="5" spans="1:19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11" t="str">
        <f>IF(Table1[Price ($)]&gt;=500,"High Price","Standard Price")</f>
        <v>High Price</v>
      </c>
      <c r="H5" s="14" t="str">
        <f>LEFT(Table1[Product ID],2)</f>
        <v>11</v>
      </c>
      <c r="I5" s="16" t="str">
        <f>RIGHT(Table1[Product ID],2)</f>
        <v>US</v>
      </c>
      <c r="J5" s="11" t="str">
        <f>MID(Table1[Product ID],4,3)</f>
        <v>APR</v>
      </c>
      <c r="K5" s="18" t="s">
        <v>120</v>
      </c>
      <c r="L5" s="18">
        <f>COUNT(Table1[Price ($)])</f>
        <v>32</v>
      </c>
    </row>
    <row r="6" spans="1:19" ht="15.75" customHeight="1" x14ac:dyDescent="0.25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11" t="str">
        <f>IF(Table1[Price ($)]&gt;=500,"High Price","Standard Price")</f>
        <v>Standard Price</v>
      </c>
      <c r="H6" s="14" t="str">
        <f>LEFT(Table1[Product ID],2)</f>
        <v>22</v>
      </c>
      <c r="I6" s="16" t="str">
        <f>RIGHT(Table1[Product ID],2)</f>
        <v>US</v>
      </c>
      <c r="J6" s="11" t="str">
        <f>MID(Table1[Product ID],4,3)</f>
        <v>MAY</v>
      </c>
      <c r="K6" s="18" t="s">
        <v>111</v>
      </c>
      <c r="L6" s="18">
        <f>AVERAGE(Table1[Price ($)])</f>
        <v>284.375</v>
      </c>
    </row>
    <row r="7" spans="1:19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11" t="str">
        <f>IF(Table1[Price ($)]&gt;=500,"High Price","Standard Price")</f>
        <v>Standard Price</v>
      </c>
      <c r="H7" s="14" t="str">
        <f>LEFT(Table1[Product ID],2)</f>
        <v>07</v>
      </c>
      <c r="I7" s="16" t="str">
        <f>RIGHT(Table1[Product ID],2)</f>
        <v>UK</v>
      </c>
      <c r="J7" s="11" t="str">
        <f>MID(Table1[Product ID],4,3)</f>
        <v>JUN</v>
      </c>
      <c r="K7" s="18" t="s">
        <v>112</v>
      </c>
      <c r="L7" s="18">
        <f>MIN(Table1[Price ($)])</f>
        <v>30</v>
      </c>
    </row>
    <row r="8" spans="1:19" ht="15.75" customHeight="1" x14ac:dyDescent="0.25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11" t="str">
        <f>IF(Table1[Price ($)]&gt;=500,"High Price","Standard Price")</f>
        <v>Standard Price</v>
      </c>
      <c r="H8" s="14" t="str">
        <f>LEFT(Table1[Product ID],2)</f>
        <v>19</v>
      </c>
      <c r="I8" s="16" t="str">
        <f>RIGHT(Table1[Product ID],2)</f>
        <v>UK</v>
      </c>
      <c r="J8" s="11" t="str">
        <f>MID(Table1[Product ID],4,3)</f>
        <v>JUL</v>
      </c>
      <c r="K8" s="18" t="s">
        <v>113</v>
      </c>
      <c r="L8" s="18">
        <f>MAX(Table1[Price ($)])</f>
        <v>1000</v>
      </c>
    </row>
    <row r="9" spans="1:19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11" t="str">
        <f>IF(Table1[Price ($)]&gt;=500,"High Price","Standard Price")</f>
        <v>Standard Price</v>
      </c>
      <c r="H9" s="14" t="str">
        <f>LEFT(Table1[Product ID],2)</f>
        <v>23</v>
      </c>
      <c r="I9" s="16" t="str">
        <f>RIGHT(Table1[Product ID],2)</f>
        <v>UK</v>
      </c>
      <c r="J9" s="11" t="str">
        <f>MID(Table1[Product ID],4,3)</f>
        <v>AUG</v>
      </c>
      <c r="K9" s="18" t="s">
        <v>115</v>
      </c>
      <c r="L9" s="18">
        <f>SUMIF(Table1[Category],"Electronics",Table1[Price ($)])</f>
        <v>7100</v>
      </c>
    </row>
    <row r="10" spans="1:19" ht="15.75" customHeight="1" x14ac:dyDescent="0.25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11" t="str">
        <f>IF(Table1[Price ($)]&gt;=500,"High Price","Standard Price")</f>
        <v>High Price</v>
      </c>
      <c r="H10" s="14" t="str">
        <f>LEFT(Table1[Product ID],2)</f>
        <v>05</v>
      </c>
      <c r="I10" s="16" t="str">
        <f>RIGHT(Table1[Product ID],2)</f>
        <v>UK</v>
      </c>
      <c r="J10" s="11" t="str">
        <f>MID(Table1[Product ID],4,3)</f>
        <v>SEP</v>
      </c>
      <c r="K10" s="18" t="s">
        <v>116</v>
      </c>
      <c r="L10" s="18">
        <f>COUNTIF(Table1[Price ($)],"&lt;100")</f>
        <v>10</v>
      </c>
    </row>
    <row r="11" spans="1:19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11" t="str">
        <f>IF(Table1[Price ($)]&gt;=500,"High Price","Standard Price")</f>
        <v>Standard Price</v>
      </c>
      <c r="H11" s="14" t="str">
        <f>LEFT(Table1[Product ID],2)</f>
        <v>14</v>
      </c>
      <c r="I11" s="16" t="str">
        <f>RIGHT(Table1[Product ID],2)</f>
        <v>UK</v>
      </c>
      <c r="J11" s="11" t="str">
        <f>MID(Table1[Product ID],4,3)</f>
        <v>OCT</v>
      </c>
    </row>
    <row r="12" spans="1:19" ht="15.75" customHeight="1" x14ac:dyDescent="0.25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11" t="str">
        <f>IF(Table1[Price ($)]&gt;=500,"High Price","Standard Price")</f>
        <v>High Price</v>
      </c>
      <c r="H12" s="14" t="str">
        <f>LEFT(Table1[Product ID],2)</f>
        <v>17</v>
      </c>
      <c r="I12" s="16" t="str">
        <f>RIGHT(Table1[Product ID],2)</f>
        <v>IN</v>
      </c>
      <c r="J12" s="11" t="str">
        <f>MID(Table1[Product ID],4,3)</f>
        <v>JUN</v>
      </c>
    </row>
    <row r="13" spans="1:19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11" t="str">
        <f>IF(Table1[Price ($)]&gt;=500,"High Price","Standard Price")</f>
        <v>Standard Price</v>
      </c>
      <c r="H13" s="14" t="str">
        <f>LEFT(Table1[Product ID],2)</f>
        <v>25</v>
      </c>
      <c r="I13" s="16" t="str">
        <f>RIGHT(Table1[Product ID],2)</f>
        <v>AU</v>
      </c>
      <c r="J13" s="11" t="str">
        <f>MID(Table1[Product ID],4,3)</f>
        <v>NOV</v>
      </c>
      <c r="K13" s="20"/>
      <c r="L13" s="20"/>
    </row>
    <row r="14" spans="1:19" ht="15.75" customHeight="1" x14ac:dyDescent="0.25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11" t="str">
        <f>IF(Table1[Price ($)]&gt;=500,"High Price","Standard Price")</f>
        <v>Standard Price</v>
      </c>
      <c r="H14" s="14" t="str">
        <f>LEFT(Table1[Product ID],2)</f>
        <v>08</v>
      </c>
      <c r="I14" s="16" t="str">
        <f>RIGHT(Table1[Product ID],2)</f>
        <v>DE</v>
      </c>
      <c r="J14" s="11" t="str">
        <f>MID(Table1[Product ID],4,3)</f>
        <v>DEC</v>
      </c>
      <c r="K14" s="21"/>
      <c r="L14" s="21"/>
      <c r="M14" s="21"/>
      <c r="N14" s="21"/>
      <c r="O14" s="21"/>
      <c r="P14" s="21"/>
      <c r="Q14" s="21"/>
      <c r="R14" s="21"/>
      <c r="S14" s="21"/>
    </row>
    <row r="15" spans="1:19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11" t="str">
        <f>IF(Table1[Price ($)]&gt;=500,"High Price","Standard Price")</f>
        <v>Standard Price</v>
      </c>
      <c r="H15" s="14" t="str">
        <f>LEFT(Table1[Product ID],2)</f>
        <v>18</v>
      </c>
      <c r="I15" s="16" t="str">
        <f>RIGHT(Table1[Product ID],2)</f>
        <v>CA</v>
      </c>
      <c r="J15" s="11" t="str">
        <f>MID(Table1[Product ID],4,3)</f>
        <v>FEB</v>
      </c>
      <c r="K15" s="21"/>
      <c r="L15" s="20"/>
      <c r="M15" s="22"/>
      <c r="N15" s="20"/>
      <c r="O15" s="21"/>
      <c r="P15" s="21"/>
      <c r="Q15" s="21"/>
      <c r="R15" s="21"/>
      <c r="S15" s="21"/>
    </row>
    <row r="16" spans="1:19" ht="15.75" customHeight="1" x14ac:dyDescent="0.25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11" t="str">
        <f>IF(Table1[Price ($)]&gt;=500,"High Price","Standard Price")</f>
        <v>Standard Price</v>
      </c>
      <c r="H16" s="14" t="str">
        <f>LEFT(Table1[Product ID],2)</f>
        <v>16</v>
      </c>
      <c r="I16" s="16" t="str">
        <f>RIGHT(Table1[Product ID],2)</f>
        <v>ES</v>
      </c>
      <c r="J16" s="11" t="str">
        <f>MID(Table1[Product ID],4,3)</f>
        <v>APR</v>
      </c>
      <c r="K16" s="21"/>
      <c r="L16" s="23"/>
      <c r="M16" s="24"/>
      <c r="N16" s="21"/>
      <c r="O16" s="21"/>
      <c r="P16" s="21"/>
      <c r="Q16" s="21"/>
      <c r="R16" s="21"/>
      <c r="S16" s="21"/>
    </row>
    <row r="17" spans="1:19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11" t="str">
        <f>IF(Table1[Price ($)]&gt;=500,"High Price","Standard Price")</f>
        <v>Standard Price</v>
      </c>
      <c r="H17" s="14" t="str">
        <f>LEFT(Table1[Product ID],2)</f>
        <v>21</v>
      </c>
      <c r="I17" s="16" t="str">
        <f>RIGHT(Table1[Product ID],2)</f>
        <v>CA</v>
      </c>
      <c r="J17" s="11" t="str">
        <f>MID(Table1[Product ID],4,3)</f>
        <v>AUG</v>
      </c>
      <c r="K17" s="21"/>
      <c r="L17" s="23"/>
      <c r="M17" s="24"/>
      <c r="N17" s="21"/>
      <c r="O17" s="21"/>
      <c r="P17" s="21"/>
      <c r="Q17" s="21"/>
      <c r="R17" s="21"/>
      <c r="S17" s="21"/>
    </row>
    <row r="18" spans="1:19" ht="15.75" customHeight="1" x14ac:dyDescent="0.25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11" t="str">
        <f>IF(Table1[Price ($)]&gt;=500,"High Price","Standard Price")</f>
        <v>Standard Price</v>
      </c>
      <c r="H18" s="14" t="str">
        <f>LEFT(Table1[Product ID],2)</f>
        <v>20</v>
      </c>
      <c r="I18" s="16" t="str">
        <f>RIGHT(Table1[Product ID],2)</f>
        <v>CN</v>
      </c>
      <c r="J18" s="11" t="str">
        <f>MID(Table1[Product ID],4,3)</f>
        <v>AUG</v>
      </c>
      <c r="K18" s="21"/>
      <c r="L18" s="23"/>
      <c r="M18" s="24"/>
      <c r="N18" s="21"/>
      <c r="O18" s="21"/>
      <c r="P18" s="21"/>
      <c r="Q18" s="21"/>
      <c r="R18" s="21"/>
      <c r="S18" s="21"/>
    </row>
    <row r="19" spans="1:19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11" t="str">
        <f>IF(Table1[Price ($)]&gt;=500,"High Price","Standard Price")</f>
        <v>High Price</v>
      </c>
      <c r="H19" s="14" t="str">
        <f>LEFT(Table1[Product ID],2)</f>
        <v>27</v>
      </c>
      <c r="I19" s="16" t="str">
        <f>RIGHT(Table1[Product ID],2)</f>
        <v>IT</v>
      </c>
      <c r="J19" s="11" t="str">
        <f>MID(Table1[Product ID],4,3)</f>
        <v>JAN</v>
      </c>
      <c r="K19" s="21"/>
      <c r="L19" s="23"/>
      <c r="M19" s="24"/>
      <c r="N19" s="21"/>
      <c r="O19" s="21"/>
      <c r="P19" s="21"/>
      <c r="Q19" s="21"/>
      <c r="R19" s="21"/>
      <c r="S19" s="21"/>
    </row>
    <row r="20" spans="1:19" ht="15.75" customHeight="1" x14ac:dyDescent="0.25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11" t="str">
        <f>IF(Table1[Price ($)]&gt;=500,"High Price","Standard Price")</f>
        <v>Standard Price</v>
      </c>
      <c r="H20" s="14" t="str">
        <f>LEFT(Table1[Product ID],2)</f>
        <v>01</v>
      </c>
      <c r="I20" s="16" t="str">
        <f>RIGHT(Table1[Product ID],2)</f>
        <v>UK</v>
      </c>
      <c r="J20" s="11" t="str">
        <f>MID(Table1[Product ID],4,3)</f>
        <v>MAR</v>
      </c>
      <c r="K20" s="21"/>
      <c r="L20" s="23"/>
      <c r="M20" s="24"/>
      <c r="N20" s="21"/>
      <c r="O20" s="21"/>
      <c r="P20" s="21"/>
      <c r="Q20" s="21"/>
      <c r="R20" s="21"/>
      <c r="S20" s="21"/>
    </row>
    <row r="21" spans="1:19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11" t="str">
        <f>IF(Table1[Price ($)]&gt;=500,"High Price","Standard Price")</f>
        <v>Standard Price</v>
      </c>
      <c r="H21" s="14" t="str">
        <f>LEFT(Table1[Product ID],2)</f>
        <v>14</v>
      </c>
      <c r="I21" s="16" t="str">
        <f>RIGHT(Table1[Product ID],2)</f>
        <v>US</v>
      </c>
      <c r="J21" s="11" t="str">
        <f>MID(Table1[Product ID],4,3)</f>
        <v>AUG</v>
      </c>
      <c r="K21" s="21"/>
      <c r="L21" s="23"/>
      <c r="M21" s="24"/>
      <c r="N21" s="21"/>
      <c r="O21" s="21"/>
      <c r="P21" s="21"/>
      <c r="Q21" s="21"/>
      <c r="R21" s="21"/>
      <c r="S21" s="21"/>
    </row>
    <row r="22" spans="1:19" ht="15.75" customHeight="1" x14ac:dyDescent="0.25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11" t="str">
        <f>IF(Table1[Price ($)]&gt;=500,"High Price","Standard Price")</f>
        <v>High Price</v>
      </c>
      <c r="H22" s="14" t="str">
        <f>LEFT(Table1[Product ID],2)</f>
        <v>14</v>
      </c>
      <c r="I22" s="16" t="str">
        <f>RIGHT(Table1[Product ID],2)</f>
        <v>RU</v>
      </c>
      <c r="J22" s="11" t="str">
        <f>MID(Table1[Product ID],4,3)</f>
        <v>MAY</v>
      </c>
      <c r="K22" s="21"/>
      <c r="L22" s="23"/>
      <c r="M22" s="24"/>
      <c r="N22" s="21"/>
      <c r="O22" s="21"/>
      <c r="P22" s="21"/>
      <c r="Q22" s="21"/>
      <c r="R22" s="21"/>
      <c r="S22" s="21"/>
    </row>
    <row r="23" spans="1:19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11" t="str">
        <f>IF(Table1[Price ($)]&gt;=500,"High Price","Standard Price")</f>
        <v>Standard Price</v>
      </c>
      <c r="H23" s="14" t="str">
        <f>LEFT(Table1[Product ID],2)</f>
        <v>09</v>
      </c>
      <c r="I23" s="16" t="str">
        <f>RIGHT(Table1[Product ID],2)</f>
        <v>CA</v>
      </c>
      <c r="J23" s="11" t="str">
        <f>MID(Table1[Product ID],4,3)</f>
        <v>JAN</v>
      </c>
      <c r="K23" s="21"/>
      <c r="L23" s="23"/>
      <c r="M23" s="24"/>
      <c r="N23" s="21"/>
      <c r="O23" s="21"/>
      <c r="P23" s="21"/>
      <c r="Q23" s="21"/>
      <c r="R23" s="21"/>
      <c r="S23" s="21"/>
    </row>
    <row r="24" spans="1:19" ht="15.75" customHeight="1" x14ac:dyDescent="0.25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11" t="str">
        <f>IF(Table1[Price ($)]&gt;=500,"High Price","Standard Price")</f>
        <v>Standard Price</v>
      </c>
      <c r="H24" s="14" t="str">
        <f>LEFT(Table1[Product ID],2)</f>
        <v>19</v>
      </c>
      <c r="I24" s="16" t="str">
        <f>RIGHT(Table1[Product ID],2)</f>
        <v>BR</v>
      </c>
      <c r="J24" s="11" t="str">
        <f>MID(Table1[Product ID],4,3)</f>
        <v>JUL</v>
      </c>
      <c r="K24" s="21"/>
      <c r="L24" s="23"/>
      <c r="M24" s="24"/>
      <c r="N24" s="21"/>
      <c r="O24" s="21"/>
      <c r="P24" s="21"/>
      <c r="Q24" s="21"/>
      <c r="R24" s="21"/>
      <c r="S24" s="21"/>
    </row>
    <row r="25" spans="1:19" ht="15.75" customHeight="1" x14ac:dyDescent="0.25">
      <c r="A25" s="8" t="s">
        <v>90</v>
      </c>
      <c r="B25" s="8" t="s">
        <v>36</v>
      </c>
      <c r="C25" s="8" t="s">
        <v>91</v>
      </c>
      <c r="D25" s="8">
        <v>800</v>
      </c>
      <c r="E25" s="8">
        <v>45</v>
      </c>
      <c r="F25" s="8" t="s">
        <v>26</v>
      </c>
      <c r="G25" s="11" t="str">
        <f>IF(Table1[Price ($)]&gt;=500,"High Price","Standard Price")</f>
        <v>High Price</v>
      </c>
      <c r="H25" s="14" t="str">
        <f>LEFT(Table1[Product ID],2)</f>
        <v>29</v>
      </c>
      <c r="I25" s="16" t="str">
        <f>RIGHT(Table1[Product ID],2)</f>
        <v>CA</v>
      </c>
      <c r="J25" s="11" t="str">
        <f>MID(Table1[Product ID],4,3)</f>
        <v>SEP</v>
      </c>
      <c r="K25" s="21"/>
      <c r="L25" s="23"/>
      <c r="M25" s="24"/>
      <c r="N25" s="21"/>
      <c r="O25" s="21"/>
      <c r="P25" s="21"/>
      <c r="Q25" s="21"/>
      <c r="R25" s="21"/>
      <c r="S25" s="21"/>
    </row>
    <row r="26" spans="1:19" ht="15.75" customHeight="1" x14ac:dyDescent="0.25">
      <c r="A26" s="9" t="s">
        <v>92</v>
      </c>
      <c r="B26" s="9" t="s">
        <v>76</v>
      </c>
      <c r="C26" s="9" t="s">
        <v>93</v>
      </c>
      <c r="D26" s="9">
        <v>130</v>
      </c>
      <c r="E26" s="9">
        <v>25</v>
      </c>
      <c r="F26" s="9" t="s">
        <v>30</v>
      </c>
      <c r="G26" s="11" t="str">
        <f>IF(Table1[Price ($)]&gt;=500,"High Price","Standard Price")</f>
        <v>Standard Price</v>
      </c>
      <c r="H26" s="14" t="str">
        <f>LEFT(Table1[Product ID],2)</f>
        <v>03</v>
      </c>
      <c r="I26" s="16" t="str">
        <f>RIGHT(Table1[Product ID],2)</f>
        <v>CA</v>
      </c>
      <c r="J26" s="11" t="str">
        <f>MID(Table1[Product ID],4,3)</f>
        <v>JUN</v>
      </c>
      <c r="K26" s="21"/>
      <c r="L26" s="23"/>
      <c r="M26" s="24"/>
      <c r="N26" s="21"/>
      <c r="O26" s="21"/>
      <c r="P26" s="21"/>
      <c r="Q26" s="21"/>
      <c r="R26" s="21"/>
      <c r="S26" s="21"/>
    </row>
    <row r="27" spans="1:19" ht="15.75" customHeight="1" x14ac:dyDescent="0.25">
      <c r="A27" s="8" t="s">
        <v>94</v>
      </c>
      <c r="B27" s="8" t="s">
        <v>49</v>
      </c>
      <c r="C27" s="8" t="s">
        <v>95</v>
      </c>
      <c r="D27" s="8">
        <v>400</v>
      </c>
      <c r="E27" s="8">
        <v>40</v>
      </c>
      <c r="F27" s="8" t="s">
        <v>34</v>
      </c>
      <c r="G27" s="11" t="str">
        <f>IF(Table1[Price ($)]&gt;=500,"High Price","Standard Price")</f>
        <v>Standard Price</v>
      </c>
      <c r="H27" s="14" t="str">
        <f>LEFT(Table1[Product ID],2)</f>
        <v>11</v>
      </c>
      <c r="I27" s="16" t="str">
        <f>RIGHT(Table1[Product ID],2)</f>
        <v>CA</v>
      </c>
      <c r="J27" s="11" t="str">
        <f>MID(Table1[Product ID],4,3)</f>
        <v>JUL</v>
      </c>
      <c r="K27" s="21"/>
      <c r="L27" s="23"/>
      <c r="M27" s="24"/>
      <c r="N27" s="21"/>
      <c r="O27" s="21"/>
      <c r="P27" s="21"/>
      <c r="Q27" s="21"/>
      <c r="R27" s="21"/>
      <c r="S27" s="21"/>
    </row>
    <row r="28" spans="1:19" ht="15.75" customHeight="1" x14ac:dyDescent="0.25">
      <c r="A28" s="9" t="s">
        <v>65</v>
      </c>
      <c r="B28" s="9" t="s">
        <v>43</v>
      </c>
      <c r="C28" s="9" t="s">
        <v>66</v>
      </c>
      <c r="D28" s="9">
        <v>230</v>
      </c>
      <c r="E28" s="9">
        <v>20</v>
      </c>
      <c r="F28" s="9" t="s">
        <v>26</v>
      </c>
      <c r="G28" s="12" t="str">
        <f>IF(Table1[Price ($)]&gt;=500,"High Price","Standard Price")</f>
        <v>Standard Price</v>
      </c>
      <c r="H28" s="14" t="str">
        <f>LEFT(Table1[Product ID],2)</f>
        <v>16</v>
      </c>
      <c r="I28" s="16" t="str">
        <f>RIGHT(Table1[Product ID],2)</f>
        <v>ES</v>
      </c>
      <c r="J28" s="11" t="str">
        <f>MID(Table1[Product ID],4,3)</f>
        <v>APR</v>
      </c>
      <c r="K28" s="21"/>
      <c r="L28" s="23"/>
      <c r="M28" s="24"/>
      <c r="N28" s="21"/>
      <c r="O28" s="21"/>
      <c r="P28" s="21"/>
      <c r="Q28" s="21"/>
      <c r="R28" s="21"/>
      <c r="S28" s="21"/>
    </row>
    <row r="29" spans="1:19" ht="15.75" customHeight="1" x14ac:dyDescent="0.25">
      <c r="A29" s="8" t="s">
        <v>96</v>
      </c>
      <c r="B29" s="8" t="s">
        <v>97</v>
      </c>
      <c r="C29" s="8" t="s">
        <v>98</v>
      </c>
      <c r="D29" s="8">
        <v>60</v>
      </c>
      <c r="E29" s="8">
        <v>30</v>
      </c>
      <c r="F29" s="8" t="s">
        <v>30</v>
      </c>
      <c r="G29" s="11" t="str">
        <f>IF(Table1[Price ($)]&gt;=500,"High Price","Standard Price")</f>
        <v>Standard Price</v>
      </c>
      <c r="H29" s="14" t="str">
        <f>LEFT(Table1[Product ID],2)</f>
        <v>07</v>
      </c>
      <c r="I29" s="16" t="str">
        <f>RIGHT(Table1[Product ID],2)</f>
        <v>CA</v>
      </c>
      <c r="J29" s="11" t="str">
        <f>MID(Table1[Product ID],4,3)</f>
        <v>MAR</v>
      </c>
      <c r="K29" s="21"/>
      <c r="L29" s="23"/>
      <c r="M29" s="24"/>
      <c r="N29" s="21"/>
      <c r="O29" s="21"/>
      <c r="P29" s="21"/>
      <c r="Q29" s="21"/>
      <c r="R29" s="21"/>
      <c r="S29" s="21"/>
    </row>
    <row r="30" spans="1:19" ht="15.75" customHeight="1" x14ac:dyDescent="0.25">
      <c r="A30" s="9" t="s">
        <v>99</v>
      </c>
      <c r="B30" s="9" t="s">
        <v>100</v>
      </c>
      <c r="C30" s="9" t="s">
        <v>101</v>
      </c>
      <c r="D30" s="9">
        <v>40</v>
      </c>
      <c r="E30" s="9">
        <v>10</v>
      </c>
      <c r="F30" s="9" t="s">
        <v>34</v>
      </c>
      <c r="G30" s="11" t="str">
        <f>IF(Table1[Price ($)]&gt;=500,"High Price","Standard Price")</f>
        <v>Standard Price</v>
      </c>
      <c r="H30" s="14" t="str">
        <f>LEFT(Table1[Product ID],2)</f>
        <v>13</v>
      </c>
      <c r="I30" s="16" t="str">
        <f>RIGHT(Table1[Product ID],2)</f>
        <v>CA</v>
      </c>
      <c r="J30" s="11" t="str">
        <f>MID(Table1[Product ID],4,3)</f>
        <v>APR</v>
      </c>
      <c r="K30" s="21"/>
      <c r="L30" s="23"/>
      <c r="M30" s="24"/>
      <c r="N30" s="21"/>
      <c r="O30" s="21"/>
      <c r="P30" s="21"/>
      <c r="Q30" s="21"/>
      <c r="R30" s="21"/>
      <c r="S30" s="21"/>
    </row>
    <row r="31" spans="1:19" ht="15.75" customHeight="1" x14ac:dyDescent="0.25">
      <c r="A31" s="8" t="s">
        <v>102</v>
      </c>
      <c r="B31" s="8" t="s">
        <v>88</v>
      </c>
      <c r="C31" s="8" t="s">
        <v>103</v>
      </c>
      <c r="D31" s="8">
        <v>130</v>
      </c>
      <c r="E31" s="8">
        <v>5</v>
      </c>
      <c r="F31" s="8" t="s">
        <v>26</v>
      </c>
      <c r="G31" s="11" t="str">
        <f>IF(Table1[Price ($)]&gt;=500,"High Price","Standard Price")</f>
        <v>Standard Price</v>
      </c>
      <c r="H31" s="14" t="str">
        <f>LEFT(Table1[Product ID],2)</f>
        <v>24</v>
      </c>
      <c r="I31" s="16" t="str">
        <f>RIGHT(Table1[Product ID],2)</f>
        <v>CA</v>
      </c>
      <c r="J31" s="11" t="str">
        <f>MID(Table1[Product ID],4,3)</f>
        <v>MAY</v>
      </c>
      <c r="K31" s="21"/>
      <c r="L31" s="23"/>
      <c r="M31" s="24"/>
      <c r="N31" s="21"/>
      <c r="O31" s="21"/>
      <c r="P31" s="21"/>
      <c r="Q31" s="21"/>
      <c r="R31" s="21"/>
      <c r="S31" s="21"/>
    </row>
    <row r="32" spans="1:19" ht="15.75" customHeight="1" x14ac:dyDescent="0.25">
      <c r="A32" s="9" t="s">
        <v>104</v>
      </c>
      <c r="B32" s="9" t="s">
        <v>105</v>
      </c>
      <c r="C32" s="9" t="s">
        <v>106</v>
      </c>
      <c r="D32" s="9">
        <v>50</v>
      </c>
      <c r="E32" s="9">
        <v>50</v>
      </c>
      <c r="F32" s="9" t="s">
        <v>30</v>
      </c>
      <c r="G32" s="11" t="str">
        <f>IF(Table1[Price ($)]&gt;=500,"High Price","Standard Price")</f>
        <v>Standard Price</v>
      </c>
      <c r="H32" s="14" t="str">
        <f>LEFT(Table1[Product ID],2)</f>
        <v>02</v>
      </c>
      <c r="I32" s="16" t="str">
        <f>RIGHT(Table1[Product ID],2)</f>
        <v>CA</v>
      </c>
      <c r="J32" s="11" t="str">
        <f>MID(Table1[Product ID],4,3)</f>
        <v>DEC</v>
      </c>
      <c r="K32" s="21"/>
      <c r="L32" s="23"/>
      <c r="M32" s="24"/>
      <c r="N32" s="21"/>
      <c r="O32" s="21"/>
      <c r="P32" s="21"/>
      <c r="Q32" s="21"/>
      <c r="R32" s="21"/>
      <c r="S32" s="21"/>
    </row>
    <row r="33" spans="1:19" ht="15.75" customHeight="1" x14ac:dyDescent="0.25">
      <c r="A33" s="9" t="s">
        <v>107</v>
      </c>
      <c r="B33" s="9" t="s">
        <v>108</v>
      </c>
      <c r="C33" s="9" t="s">
        <v>109</v>
      </c>
      <c r="D33" s="9">
        <v>100</v>
      </c>
      <c r="E33" s="9">
        <v>20</v>
      </c>
      <c r="F33" s="9" t="s">
        <v>70</v>
      </c>
      <c r="G33" s="11" t="str">
        <f>IF(Table1[Price ($)]&gt;=500,"High Price","Standard Price")</f>
        <v>Standard Price</v>
      </c>
      <c r="H33" s="14" t="str">
        <f>LEFT(Table1[Product ID],2)</f>
        <v>09</v>
      </c>
      <c r="I33" s="16" t="str">
        <f>RIGHT(Table1[Product ID],2)</f>
        <v>FR</v>
      </c>
      <c r="J33" s="11" t="str">
        <f>MID(Table1[Product ID],4,3)</f>
        <v>JUL</v>
      </c>
      <c r="K33" s="21"/>
      <c r="L33" s="23"/>
      <c r="M33" s="24"/>
      <c r="N33" s="21"/>
      <c r="O33" s="21"/>
      <c r="P33" s="21"/>
      <c r="Q33" s="21"/>
      <c r="R33" s="21"/>
      <c r="S33" s="21"/>
    </row>
    <row r="34" spans="1:19" ht="15.75" customHeight="1" x14ac:dyDescent="0.25">
      <c r="K34" s="21"/>
      <c r="L34" s="23"/>
      <c r="M34" s="24"/>
      <c r="N34" s="21"/>
      <c r="O34" s="21"/>
      <c r="P34" s="21"/>
      <c r="Q34" s="21"/>
      <c r="R34" s="21"/>
      <c r="S34" s="21"/>
    </row>
    <row r="35" spans="1:19" ht="15.75" customHeight="1" x14ac:dyDescent="0.25">
      <c r="K35" s="21"/>
      <c r="L35" s="23"/>
      <c r="M35" s="24"/>
      <c r="N35" s="21"/>
      <c r="O35" s="21"/>
      <c r="P35" s="21"/>
      <c r="Q35" s="21"/>
      <c r="R35" s="21"/>
      <c r="S35" s="21"/>
    </row>
    <row r="36" spans="1:19" ht="15.75" customHeight="1" x14ac:dyDescent="0.25">
      <c r="K36" s="21"/>
      <c r="L36" s="23"/>
      <c r="M36" s="24"/>
      <c r="N36" s="21"/>
      <c r="O36" s="21"/>
      <c r="P36" s="21"/>
      <c r="Q36" s="21"/>
      <c r="R36" s="21"/>
      <c r="S36" s="21"/>
    </row>
    <row r="37" spans="1:19" ht="15.75" customHeight="1" x14ac:dyDescent="0.25">
      <c r="K37" s="21"/>
      <c r="L37" s="23"/>
      <c r="M37" s="24"/>
      <c r="N37" s="21"/>
      <c r="O37" s="21"/>
      <c r="P37" s="21"/>
      <c r="Q37" s="21"/>
      <c r="R37" s="21"/>
      <c r="S37" s="21"/>
    </row>
    <row r="38" spans="1:19" ht="15.75" customHeight="1" x14ac:dyDescent="0.25">
      <c r="K38" s="21"/>
      <c r="L38" s="23"/>
      <c r="M38" s="24"/>
      <c r="N38" s="21"/>
      <c r="O38" s="21"/>
      <c r="P38" s="21"/>
      <c r="Q38" s="21"/>
      <c r="R38" s="21"/>
      <c r="S38" s="21"/>
    </row>
    <row r="39" spans="1:19" ht="15.75" customHeight="1" x14ac:dyDescent="0.25">
      <c r="K39" s="21"/>
      <c r="L39" s="23"/>
      <c r="M39" s="24"/>
      <c r="N39" s="21"/>
      <c r="O39" s="21"/>
      <c r="P39" s="21"/>
      <c r="Q39" s="21"/>
      <c r="R39" s="21"/>
      <c r="S39" s="21"/>
    </row>
    <row r="40" spans="1:19" ht="15.75" customHeight="1" x14ac:dyDescent="0.25">
      <c r="K40" s="21"/>
      <c r="L40" s="23"/>
      <c r="M40" s="24"/>
      <c r="N40" s="21"/>
      <c r="O40" s="21"/>
      <c r="P40" s="21"/>
      <c r="Q40" s="21"/>
      <c r="R40" s="21"/>
      <c r="S40" s="21"/>
    </row>
    <row r="41" spans="1:19" ht="15.75" customHeight="1" x14ac:dyDescent="0.25">
      <c r="K41" s="21"/>
      <c r="L41" s="23"/>
      <c r="M41" s="24"/>
      <c r="N41" s="21"/>
      <c r="O41" s="21"/>
      <c r="P41" s="21"/>
      <c r="Q41" s="21"/>
      <c r="R41" s="21"/>
      <c r="S41" s="21"/>
    </row>
    <row r="42" spans="1:19" ht="15.75" customHeight="1" x14ac:dyDescent="0.25">
      <c r="K42" s="21"/>
      <c r="L42" s="23"/>
      <c r="M42" s="24"/>
      <c r="N42" s="21"/>
      <c r="O42" s="21"/>
      <c r="P42" s="21"/>
      <c r="Q42" s="21"/>
      <c r="R42" s="21"/>
      <c r="S42" s="21"/>
    </row>
    <row r="43" spans="1:19" ht="15.75" customHeight="1" x14ac:dyDescent="0.25">
      <c r="K43" s="21"/>
      <c r="L43" s="23"/>
      <c r="M43" s="24"/>
      <c r="N43" s="21"/>
      <c r="O43" s="21"/>
      <c r="P43" s="21"/>
      <c r="Q43" s="21"/>
      <c r="R43" s="21"/>
      <c r="S43" s="21"/>
    </row>
    <row r="44" spans="1:19" ht="15.75" customHeight="1" x14ac:dyDescent="0.25">
      <c r="K44" s="21"/>
      <c r="L44" s="23"/>
      <c r="M44" s="24"/>
      <c r="N44" s="21"/>
      <c r="O44" s="21"/>
      <c r="P44" s="21"/>
      <c r="Q44" s="21"/>
      <c r="R44" s="21"/>
      <c r="S44" s="21"/>
    </row>
    <row r="45" spans="1:19" ht="15.75" customHeight="1" x14ac:dyDescent="0.25">
      <c r="K45" s="21"/>
      <c r="L45" s="23"/>
      <c r="M45" s="24"/>
      <c r="N45" s="21"/>
      <c r="O45" s="21"/>
      <c r="P45" s="21"/>
      <c r="Q45" s="21"/>
      <c r="R45" s="21"/>
      <c r="S45" s="21"/>
    </row>
    <row r="46" spans="1:19" ht="15.75" customHeight="1" x14ac:dyDescent="0.25">
      <c r="K46" s="21"/>
      <c r="L46" s="23"/>
      <c r="M46" s="24"/>
      <c r="N46" s="21"/>
      <c r="O46" s="21"/>
      <c r="P46" s="21"/>
      <c r="Q46" s="21"/>
      <c r="R46" s="21"/>
      <c r="S46" s="21"/>
    </row>
    <row r="47" spans="1:19" ht="15.75" customHeight="1" x14ac:dyDescent="0.25">
      <c r="K47" s="21"/>
      <c r="L47" s="23"/>
      <c r="M47" s="24"/>
      <c r="N47" s="21"/>
      <c r="O47" s="21"/>
      <c r="P47" s="21"/>
      <c r="Q47" s="21"/>
      <c r="R47" s="21"/>
      <c r="S47" s="21"/>
    </row>
    <row r="48" spans="1:19" ht="15.75" customHeight="1" x14ac:dyDescent="0.25">
      <c r="K48" s="21"/>
      <c r="L48" s="21"/>
      <c r="M48" s="21"/>
      <c r="N48" s="21"/>
      <c r="O48" s="21"/>
      <c r="P48" s="21"/>
      <c r="Q48" s="21"/>
      <c r="R48" s="21"/>
      <c r="S48" s="21"/>
    </row>
    <row r="49" spans="11:19" ht="15.75" customHeight="1" x14ac:dyDescent="0.25">
      <c r="K49" s="21"/>
      <c r="L49" s="21"/>
      <c r="M49" s="21"/>
      <c r="N49" s="21"/>
      <c r="O49" s="21"/>
      <c r="P49" s="21"/>
      <c r="Q49" s="21"/>
      <c r="R49" s="21"/>
      <c r="S49" s="21"/>
    </row>
    <row r="50" spans="11:19" ht="15.75" customHeight="1" x14ac:dyDescent="0.25">
      <c r="K50" s="21"/>
      <c r="L50" s="21"/>
      <c r="M50" s="21"/>
      <c r="N50" s="21"/>
      <c r="O50" s="21"/>
      <c r="P50" s="21"/>
      <c r="Q50" s="21"/>
      <c r="R50" s="21"/>
      <c r="S50" s="21"/>
    </row>
    <row r="51" spans="11:19" ht="15.75" customHeight="1" x14ac:dyDescent="0.25">
      <c r="K51" s="21"/>
      <c r="L51" s="21"/>
      <c r="M51" s="21"/>
      <c r="N51" s="21"/>
      <c r="O51" s="21"/>
      <c r="P51" s="21"/>
      <c r="Q51" s="21"/>
      <c r="R51" s="21"/>
      <c r="S51" s="21"/>
    </row>
    <row r="52" spans="11:19" ht="15.75" customHeight="1" x14ac:dyDescent="0.25">
      <c r="K52" s="21"/>
      <c r="L52" s="21"/>
      <c r="M52" s="21"/>
      <c r="N52" s="21"/>
      <c r="O52" s="21"/>
      <c r="P52" s="21"/>
      <c r="Q52" s="21"/>
      <c r="R52" s="21"/>
      <c r="S52" s="21"/>
    </row>
    <row r="53" spans="11:19" ht="15.75" customHeight="1" x14ac:dyDescent="0.25">
      <c r="K53" s="21"/>
      <c r="L53" s="21"/>
      <c r="M53" s="21"/>
      <c r="N53" s="21"/>
      <c r="O53" s="21"/>
      <c r="P53" s="21"/>
      <c r="Q53" s="21"/>
      <c r="R53" s="21"/>
      <c r="S53" s="21"/>
    </row>
    <row r="54" spans="11:19" ht="15.75" customHeight="1" x14ac:dyDescent="0.25">
      <c r="K54" s="21"/>
      <c r="L54" s="21"/>
      <c r="M54" s="21"/>
      <c r="N54" s="21"/>
      <c r="O54" s="21"/>
      <c r="P54" s="21"/>
      <c r="Q54" s="21"/>
      <c r="R54" s="21"/>
      <c r="S54" s="21"/>
    </row>
    <row r="55" spans="11:19" ht="15.75" customHeight="1" x14ac:dyDescent="0.25">
      <c r="K55" s="21"/>
      <c r="L55" s="21"/>
      <c r="M55" s="21"/>
      <c r="N55" s="21"/>
      <c r="O55" s="21"/>
      <c r="P55" s="21"/>
      <c r="Q55" s="21"/>
      <c r="R55" s="21"/>
      <c r="S55" s="21"/>
    </row>
    <row r="56" spans="11:19" ht="15.75" customHeight="1" x14ac:dyDescent="0.25">
      <c r="K56" s="21"/>
      <c r="L56" s="21"/>
      <c r="M56" s="21"/>
      <c r="N56" s="21"/>
      <c r="O56" s="21"/>
      <c r="P56" s="21"/>
      <c r="Q56" s="21"/>
      <c r="R56" s="21"/>
      <c r="S56" s="21"/>
    </row>
    <row r="57" spans="11:19" ht="15.75" customHeight="1" x14ac:dyDescent="0.25">
      <c r="K57" s="21"/>
      <c r="L57" s="21"/>
      <c r="M57" s="21"/>
      <c r="N57" s="21"/>
      <c r="O57" s="21"/>
      <c r="P57" s="21"/>
      <c r="Q57" s="21"/>
      <c r="R57" s="21"/>
      <c r="S57" s="21"/>
    </row>
    <row r="58" spans="11:19" ht="15.75" customHeight="1" x14ac:dyDescent="0.25">
      <c r="K58" s="21"/>
      <c r="L58" s="21"/>
      <c r="M58" s="21"/>
      <c r="N58" s="21"/>
      <c r="O58" s="21"/>
      <c r="P58" s="21"/>
      <c r="Q58" s="21"/>
      <c r="R58" s="21"/>
      <c r="S58" s="21"/>
    </row>
    <row r="59" spans="11:19" ht="15.75" customHeight="1" x14ac:dyDescent="0.25">
      <c r="K59" s="21"/>
      <c r="L59" s="21"/>
      <c r="M59" s="21"/>
      <c r="N59" s="21"/>
      <c r="O59" s="21"/>
      <c r="P59" s="21"/>
      <c r="Q59" s="21"/>
      <c r="R59" s="21"/>
      <c r="S59" s="21"/>
    </row>
    <row r="60" spans="11:19" ht="15.75" customHeight="1" x14ac:dyDescent="0.25">
      <c r="K60" s="21"/>
      <c r="L60" s="21"/>
      <c r="M60" s="21"/>
      <c r="N60" s="21"/>
      <c r="O60" s="21"/>
      <c r="P60" s="21"/>
      <c r="Q60" s="21"/>
      <c r="R60" s="21"/>
      <c r="S60" s="21"/>
    </row>
    <row r="61" spans="11:19" ht="15.75" customHeight="1" x14ac:dyDescent="0.25">
      <c r="K61" s="21"/>
      <c r="L61" s="21"/>
      <c r="M61" s="21"/>
      <c r="N61" s="21"/>
      <c r="O61" s="21"/>
      <c r="P61" s="21"/>
      <c r="Q61" s="21"/>
      <c r="R61" s="21"/>
      <c r="S61" s="21"/>
    </row>
    <row r="62" spans="11:19" ht="15.75" customHeight="1" x14ac:dyDescent="0.25">
      <c r="K62" s="21"/>
      <c r="L62" s="21"/>
      <c r="M62" s="21"/>
      <c r="N62" s="21"/>
      <c r="O62" s="21"/>
      <c r="P62" s="21"/>
      <c r="Q62" s="21"/>
      <c r="R62" s="21"/>
      <c r="S62" s="21"/>
    </row>
    <row r="63" spans="11:19" ht="15.75" customHeight="1" x14ac:dyDescent="0.25">
      <c r="K63" s="21"/>
      <c r="L63" s="21"/>
      <c r="M63" s="21"/>
      <c r="N63" s="21"/>
      <c r="O63" s="21"/>
      <c r="P63" s="21"/>
      <c r="Q63" s="21"/>
      <c r="R63" s="21"/>
      <c r="S63" s="21"/>
    </row>
    <row r="64" spans="11:19" ht="15.75" customHeight="1" x14ac:dyDescent="0.25">
      <c r="K64" s="21"/>
      <c r="L64" s="21"/>
      <c r="M64" s="21"/>
      <c r="N64" s="21"/>
      <c r="O64" s="21"/>
      <c r="P64" s="21"/>
      <c r="Q64" s="21"/>
      <c r="R64" s="21"/>
      <c r="S64" s="21"/>
    </row>
    <row r="65" spans="11:19" ht="15.75" customHeight="1" x14ac:dyDescent="0.25">
      <c r="K65" s="21"/>
      <c r="L65" s="21"/>
      <c r="M65" s="21"/>
      <c r="N65" s="21"/>
      <c r="O65" s="21"/>
      <c r="P65" s="21"/>
      <c r="Q65" s="21"/>
      <c r="R65" s="21"/>
      <c r="S65" s="21"/>
    </row>
    <row r="66" spans="11:19" ht="15.75" customHeight="1" x14ac:dyDescent="0.25">
      <c r="K66" s="21"/>
      <c r="L66" s="21"/>
      <c r="M66" s="21"/>
      <c r="N66" s="21"/>
      <c r="O66" s="21"/>
      <c r="P66" s="21"/>
      <c r="Q66" s="21"/>
      <c r="R66" s="21"/>
      <c r="S66" s="21"/>
    </row>
    <row r="67" spans="11:19" ht="15.75" customHeight="1" x14ac:dyDescent="0.25">
      <c r="K67" s="21"/>
      <c r="L67" s="21"/>
      <c r="M67" s="21"/>
      <c r="N67" s="21"/>
      <c r="O67" s="21"/>
      <c r="P67" s="21"/>
      <c r="Q67" s="21"/>
      <c r="R67" s="21"/>
      <c r="S67" s="21"/>
    </row>
    <row r="68" spans="11:19" ht="15.75" customHeight="1" x14ac:dyDescent="0.25">
      <c r="K68" s="21"/>
      <c r="L68" s="21"/>
      <c r="M68" s="21"/>
      <c r="N68" s="21"/>
      <c r="O68" s="21"/>
      <c r="P68" s="21"/>
      <c r="Q68" s="21"/>
      <c r="R68" s="21"/>
      <c r="S68" s="21"/>
    </row>
    <row r="69" spans="11:19" ht="15.75" customHeight="1" x14ac:dyDescent="0.25">
      <c r="K69" s="21"/>
      <c r="L69" s="21"/>
      <c r="M69" s="21"/>
      <c r="N69" s="21"/>
      <c r="O69" s="21"/>
      <c r="P69" s="21"/>
      <c r="Q69" s="21"/>
      <c r="R69" s="21"/>
      <c r="S69" s="21"/>
    </row>
    <row r="70" spans="11:19" ht="15.75" customHeight="1" x14ac:dyDescent="0.25">
      <c r="K70" s="21"/>
      <c r="L70" s="21"/>
      <c r="M70" s="21"/>
      <c r="N70" s="21"/>
      <c r="O70" s="21"/>
      <c r="P70" s="21"/>
      <c r="Q70" s="21"/>
      <c r="R70" s="21"/>
      <c r="S70" s="21"/>
    </row>
    <row r="71" spans="11:19" ht="15.75" customHeight="1" x14ac:dyDescent="0.25">
      <c r="K71" s="21"/>
      <c r="L71" s="21"/>
      <c r="M71" s="21"/>
      <c r="N71" s="21"/>
      <c r="O71" s="21"/>
      <c r="P71" s="21"/>
      <c r="Q71" s="21"/>
      <c r="R71" s="21"/>
      <c r="S71" s="21"/>
    </row>
    <row r="72" spans="11:19" ht="15.75" customHeight="1" x14ac:dyDescent="0.25">
      <c r="K72" s="21"/>
      <c r="L72" s="21"/>
      <c r="M72" s="21"/>
      <c r="N72" s="21"/>
      <c r="O72" s="21"/>
      <c r="P72" s="21"/>
      <c r="Q72" s="21"/>
      <c r="R72" s="21"/>
      <c r="S72" s="21"/>
    </row>
    <row r="73" spans="11:19" ht="15.75" customHeight="1" x14ac:dyDescent="0.25">
      <c r="K73" s="21"/>
      <c r="L73" s="21"/>
      <c r="M73" s="21"/>
      <c r="N73" s="21"/>
      <c r="O73" s="21"/>
      <c r="P73" s="21"/>
      <c r="Q73" s="21"/>
      <c r="R73" s="21"/>
      <c r="S73" s="21"/>
    </row>
    <row r="74" spans="11:19" ht="15.75" customHeight="1" x14ac:dyDescent="0.25">
      <c r="K74" s="21"/>
      <c r="L74" s="21"/>
      <c r="M74" s="21"/>
      <c r="N74" s="21"/>
      <c r="O74" s="21"/>
      <c r="P74" s="21"/>
      <c r="Q74" s="21"/>
      <c r="R74" s="21"/>
      <c r="S74" s="21"/>
    </row>
    <row r="75" spans="11:19" ht="15.75" customHeight="1" x14ac:dyDescent="0.25">
      <c r="K75" s="21"/>
      <c r="L75" s="21"/>
      <c r="M75" s="21"/>
      <c r="N75" s="21"/>
      <c r="O75" s="21"/>
      <c r="P75" s="21"/>
      <c r="Q75" s="21"/>
      <c r="R75" s="21"/>
      <c r="S75" s="21"/>
    </row>
    <row r="76" spans="11:19" ht="15.75" customHeight="1" x14ac:dyDescent="0.25">
      <c r="K76" s="21"/>
      <c r="L76" s="21"/>
      <c r="M76" s="21"/>
      <c r="N76" s="21"/>
      <c r="O76" s="21"/>
      <c r="P76" s="21"/>
      <c r="Q76" s="21"/>
      <c r="R76" s="21"/>
      <c r="S76" s="21"/>
    </row>
    <row r="77" spans="11:19" ht="15.75" customHeight="1" x14ac:dyDescent="0.25">
      <c r="K77" s="21"/>
      <c r="L77" s="21"/>
      <c r="M77" s="21"/>
      <c r="N77" s="21"/>
      <c r="O77" s="21"/>
      <c r="P77" s="21"/>
      <c r="Q77" s="21"/>
      <c r="R77" s="21"/>
      <c r="S77" s="21"/>
    </row>
    <row r="78" spans="11:19" ht="15.75" customHeight="1" x14ac:dyDescent="0.25">
      <c r="K78" s="21"/>
      <c r="L78" s="21"/>
      <c r="M78" s="21"/>
      <c r="N78" s="21"/>
      <c r="O78" s="21"/>
      <c r="P78" s="21"/>
      <c r="Q78" s="21"/>
      <c r="R78" s="21"/>
      <c r="S78" s="21"/>
    </row>
    <row r="79" spans="11:19" ht="15.75" customHeight="1" x14ac:dyDescent="0.25">
      <c r="K79" s="21"/>
      <c r="L79" s="21"/>
      <c r="M79" s="21"/>
      <c r="N79" s="21"/>
      <c r="O79" s="21"/>
      <c r="P79" s="21"/>
      <c r="Q79" s="21"/>
      <c r="R79" s="21"/>
      <c r="S79" s="21"/>
    </row>
    <row r="80" spans="11:19" ht="15.75" customHeight="1" x14ac:dyDescent="0.25">
      <c r="K80" s="21"/>
      <c r="L80" s="21"/>
      <c r="M80" s="21"/>
      <c r="N80" s="21"/>
      <c r="O80" s="21"/>
      <c r="P80" s="21"/>
      <c r="Q80" s="21"/>
      <c r="R80" s="21"/>
      <c r="S80" s="21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 Exploration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L-G</cp:lastModifiedBy>
  <dcterms:modified xsi:type="dcterms:W3CDTF">2026-03-31T17:53:43Z</dcterms:modified>
</cp:coreProperties>
</file>